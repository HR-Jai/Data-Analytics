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43\OneDrive\Desktop\HR-Jai\Data-Analytics\"/>
    </mc:Choice>
  </mc:AlternateContent>
  <xr:revisionPtr revIDLastSave="0" documentId="13_ncr:1_{726C7B3B-F226-4D39-82F6-D655606494C9}" xr6:coauthVersionLast="47" xr6:coauthVersionMax="47" xr10:uidLastSave="{00000000-0000-0000-0000-000000000000}"/>
  <bookViews>
    <workbookView xWindow="-120" yWindow="-120" windowWidth="29040" windowHeight="15720" activeTab="4" xr2:uid="{AC465FD7-3DFC-4357-BA24-52F3857FA676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" i="5" l="1"/>
  <c r="D4" i="5"/>
  <c r="D5" i="5"/>
  <c r="D6" i="5"/>
  <c r="D2" i="5"/>
  <c r="B3" i="5"/>
  <c r="B4" i="5"/>
  <c r="B5" i="5"/>
  <c r="B6" i="5"/>
  <c r="B2" i="5"/>
  <c r="B3" i="3"/>
  <c r="B4" i="3"/>
  <c r="B5" i="3"/>
  <c r="B6" i="3"/>
  <c r="B2" i="3"/>
  <c r="C4" i="3"/>
  <c r="C5" i="3"/>
  <c r="C6" i="3"/>
  <c r="C2" i="3"/>
  <c r="C3" i="5"/>
  <c r="C4" i="5"/>
  <c r="C5" i="5"/>
  <c r="C6" i="5"/>
  <c r="C2" i="5"/>
  <c r="C3" i="3"/>
  <c r="C3" i="4"/>
  <c r="C4" i="4"/>
  <c r="C5" i="4"/>
  <c r="C6" i="4"/>
  <c r="C2" i="4"/>
  <c r="D3" i="4"/>
  <c r="D4" i="4"/>
  <c r="D5" i="4"/>
  <c r="D6" i="4"/>
  <c r="D2" i="4"/>
  <c r="B3" i="4"/>
  <c r="B4" i="4"/>
  <c r="B5" i="4"/>
  <c r="B6" i="4"/>
  <c r="B2" i="4"/>
  <c r="B3" i="2"/>
  <c r="B4" i="2"/>
  <c r="B5" i="2"/>
  <c r="B6" i="2"/>
  <c r="B2" i="2"/>
  <c r="D3" i="2"/>
  <c r="D4" i="2"/>
  <c r="D5" i="2"/>
  <c r="D6" i="2"/>
  <c r="D2" i="2"/>
  <c r="C3" i="2"/>
  <c r="C4" i="2"/>
  <c r="C5" i="2"/>
  <c r="C6" i="2"/>
  <c r="C2" i="2"/>
  <c r="C3" i="1"/>
  <c r="C4" i="1"/>
  <c r="C5" i="1"/>
  <c r="C6" i="1"/>
  <c r="C2" i="1"/>
  <c r="D3" i="1"/>
  <c r="D4" i="1"/>
  <c r="D5" i="1"/>
  <c r="D6" i="1"/>
  <c r="D2" i="1"/>
  <c r="B3" i="1"/>
  <c r="B4" i="1"/>
  <c r="B5" i="1"/>
  <c r="B6" i="1"/>
  <c r="B2" i="1"/>
</calcChain>
</file>

<file path=xl/sharedStrings.xml><?xml version="1.0" encoding="utf-8"?>
<sst xmlns="http://schemas.openxmlformats.org/spreadsheetml/2006/main" count="49" uniqueCount="47">
  <si>
    <t>Product Code</t>
  </si>
  <si>
    <t>Category</t>
  </si>
  <si>
    <t>Product Number</t>
  </si>
  <si>
    <t>Country Code</t>
  </si>
  <si>
    <t>ELEC-1023-US</t>
  </si>
  <si>
    <t>FASH-2045-UK</t>
  </si>
  <si>
    <t>TOYS-3098-IN</t>
  </si>
  <si>
    <t>FOOD-4512-AU</t>
  </si>
  <si>
    <t>HOME-5679-US</t>
  </si>
  <si>
    <t>Category: Extract first part before "-" using LEFT + FIND
Product Number: Extract middle digits using MID + FIND
Country Code: Extract last two letters using RIGHT</t>
  </si>
  <si>
    <t>Customer Name</t>
  </si>
  <si>
    <t>Clean Name</t>
  </si>
  <si>
    <t>Upper Case</t>
  </si>
  <si>
    <t>Proper Case</t>
  </si>
  <si>
    <t>john DOE</t>
  </si>
  <si>
    <t>mary jane</t>
  </si>
  <si>
    <t>robert smith</t>
  </si>
  <si>
    <t>lisa Ann</t>
  </si>
  <si>
    <t>david BROWN</t>
  </si>
  <si>
    <t xml:space="preserve">Remove extra spaces using TRIM
Convert names to UPPER
Convert names to PROPER
</t>
  </si>
  <si>
    <t>URL</t>
  </si>
  <si>
    <t>Domain Name</t>
  </si>
  <si>
    <t>Extension</t>
  </si>
  <si>
    <t>https://www.google.com</t>
  </si>
  <si>
    <t>https://www.amazon.in</t>
  </si>
  <si>
    <t>http://www.example.org</t>
  </si>
  <si>
    <t>https://www.wikipedia.org</t>
  </si>
  <si>
    <t>http://www.company.co.uk</t>
  </si>
  <si>
    <t>Invoice ID</t>
  </si>
  <si>
    <t>Prefix</t>
  </si>
  <si>
    <t>Number</t>
  </si>
  <si>
    <t>Suffix</t>
  </si>
  <si>
    <t>INV-202301-US</t>
  </si>
  <si>
    <t>INV-202302-UK</t>
  </si>
  <si>
    <t>INV-202303-IN</t>
  </si>
  <si>
    <t>INV-202304-AU</t>
  </si>
  <si>
    <t>INV-202305-US</t>
  </si>
  <si>
    <t>Raw Phone</t>
  </si>
  <si>
    <t>Clean Phone</t>
  </si>
  <si>
    <t>+1 987-654-3210</t>
  </si>
  <si>
    <t>+44 123-456-7890</t>
  </si>
  <si>
    <t>+91 98765-43210</t>
  </si>
  <si>
    <t>+61 412-345-678</t>
  </si>
  <si>
    <t>+49 151-234-5678</t>
  </si>
  <si>
    <t>Remove spaces and dashes using SUBSTITUTE and TRIM
Extract country code using LEFT + FIND
Extract phone number using MID + LEN</t>
  </si>
  <si>
    <t>Prefix: Extract “INV” using LEFT
Number: Extract 6-digit number in middle using MID
Suffix: Extract last two letters using RIGHT</t>
  </si>
  <si>
    <t>Extract domain name (between www. and last .) using MID + FIND + SUBSTITUTE
Extract extension (after last .) using RIGHT + FIND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</si>
</sst>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sz val="22"/>
      <color theme="1"/>
      <name val="Calibri"/>
      <family val="2"/>
      <scheme val="minor"/>
    </font>
    <font>
      <b/>
      <sz val="12"/>
      <color rgb="FF1F2328"/>
      <name val="Segoe U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6" fillId="2" borderId="1" xfId="1" applyFill="1" applyBorder="1" applyAlignment="1">
      <alignment horizontal="left" vertical="center"/>
    </xf>
    <xf numFmtId="0" fontId="6" fillId="3" borderId="1" xfId="1" applyFill="1" applyBorder="1" applyAlignment="1">
      <alignment horizontal="left" vertical="center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example.org/" TargetMode="External"/><Relationship Id="rId2" Type="http://schemas.openxmlformats.org/officeDocument/2006/relationships/hyperlink" Target="https://www.amazon.in/" TargetMode="External"/><Relationship Id="rId1" Type="http://schemas.openxmlformats.org/officeDocument/2006/relationships/hyperlink" Target="https://www.google.com/" TargetMode="External"/><Relationship Id="rId5" Type="http://schemas.openxmlformats.org/officeDocument/2006/relationships/hyperlink" Target="http://www.company.co.uk/" TargetMode="External"/><Relationship Id="rId4" Type="http://schemas.openxmlformats.org/officeDocument/2006/relationships/hyperlink" Target="https://www.wikipedia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139C0-F8E9-4C41-AEA2-5D4612C13993}">
  <dimension ref="A1:U16"/>
  <sheetViews>
    <sheetView workbookViewId="0">
      <selection activeCell="C6" sqref="C2:C6"/>
    </sheetView>
  </sheetViews>
  <sheetFormatPr defaultRowHeight="15" x14ac:dyDescent="0.25"/>
  <cols>
    <col min="1" max="1" width="17.7109375" bestFit="1" customWidth="1"/>
    <col min="2" max="2" width="11.42578125" bestFit="1" customWidth="1"/>
    <col min="3" max="3" width="20.140625" bestFit="1" customWidth="1"/>
    <col min="4" max="4" width="16.85546875" bestFit="1" customWidth="1"/>
  </cols>
  <sheetData>
    <row r="1" spans="1:21" ht="18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21" ht="18" thickBot="1" x14ac:dyDescent="0.3">
      <c r="A2" s="2" t="s">
        <v>4</v>
      </c>
      <c r="B2" s="2" t="str">
        <f>LEFT(A2,4)</f>
        <v>ELEC</v>
      </c>
      <c r="C2" s="2" t="str">
        <f>MID(A2,6,4)</f>
        <v>1023</v>
      </c>
      <c r="D2" s="2" t="str">
        <f>RIGHT(A2,2)</f>
        <v>US</v>
      </c>
    </row>
    <row r="3" spans="1:21" ht="18" thickBot="1" x14ac:dyDescent="0.3">
      <c r="A3" s="3" t="s">
        <v>5</v>
      </c>
      <c r="B3" s="2" t="str">
        <f t="shared" ref="B3:B6" si="0">LEFT(A3,4)</f>
        <v>FASH</v>
      </c>
      <c r="C3" s="2" t="str">
        <f t="shared" ref="C3:C6" si="1">MID(A3,6,4)</f>
        <v>2045</v>
      </c>
      <c r="D3" s="2" t="str">
        <f t="shared" ref="D3:D6" si="2">RIGHT(A3,2)</f>
        <v>UK</v>
      </c>
    </row>
    <row r="4" spans="1:21" ht="18" thickBot="1" x14ac:dyDescent="0.3">
      <c r="A4" s="2" t="s">
        <v>6</v>
      </c>
      <c r="B4" s="2" t="str">
        <f t="shared" si="0"/>
        <v>TOYS</v>
      </c>
      <c r="C4" s="2" t="str">
        <f t="shared" si="1"/>
        <v>3098</v>
      </c>
      <c r="D4" s="2" t="str">
        <f t="shared" si="2"/>
        <v>IN</v>
      </c>
    </row>
    <row r="5" spans="1:21" ht="18" thickBot="1" x14ac:dyDescent="0.3">
      <c r="A5" s="3" t="s">
        <v>7</v>
      </c>
      <c r="B5" s="2" t="str">
        <f t="shared" si="0"/>
        <v>FOOD</v>
      </c>
      <c r="C5" s="2" t="str">
        <f t="shared" si="1"/>
        <v>4512</v>
      </c>
      <c r="D5" s="2" t="str">
        <f t="shared" si="2"/>
        <v>AU</v>
      </c>
    </row>
    <row r="6" spans="1:21" ht="18" thickBot="1" x14ac:dyDescent="0.3">
      <c r="A6" s="2" t="s">
        <v>8</v>
      </c>
      <c r="B6" s="2" t="str">
        <f t="shared" si="0"/>
        <v>HOME</v>
      </c>
      <c r="C6" s="2" t="str">
        <f t="shared" si="1"/>
        <v>5679</v>
      </c>
      <c r="D6" s="2" t="str">
        <f t="shared" si="2"/>
        <v>US</v>
      </c>
      <c r="L6" s="7" t="s">
        <v>9</v>
      </c>
      <c r="M6" s="7"/>
      <c r="N6" s="7"/>
      <c r="O6" s="7"/>
      <c r="P6" s="7"/>
      <c r="Q6" s="7"/>
      <c r="R6" s="7"/>
      <c r="S6" s="7"/>
      <c r="T6" s="7"/>
      <c r="U6" s="7"/>
    </row>
    <row r="7" spans="1:21" ht="15" customHeight="1" x14ac:dyDescent="0.25">
      <c r="L7" s="7"/>
      <c r="M7" s="7"/>
      <c r="N7" s="7"/>
      <c r="O7" s="7"/>
      <c r="P7" s="7"/>
      <c r="Q7" s="7"/>
      <c r="R7" s="7"/>
      <c r="S7" s="7"/>
      <c r="T7" s="7"/>
      <c r="U7" s="7"/>
    </row>
    <row r="8" spans="1:21" ht="15" customHeight="1" x14ac:dyDescent="0.25">
      <c r="L8" s="7"/>
      <c r="M8" s="7"/>
      <c r="N8" s="7"/>
      <c r="O8" s="7"/>
      <c r="P8" s="7"/>
      <c r="Q8" s="7"/>
      <c r="R8" s="7"/>
      <c r="S8" s="7"/>
      <c r="T8" s="7"/>
      <c r="U8" s="7"/>
    </row>
    <row r="9" spans="1:21" ht="15" customHeight="1" x14ac:dyDescent="0.25">
      <c r="L9" s="7"/>
      <c r="M9" s="7"/>
      <c r="N9" s="7"/>
      <c r="O9" s="7"/>
      <c r="P9" s="7"/>
      <c r="Q9" s="7"/>
      <c r="R9" s="7"/>
      <c r="S9" s="7"/>
      <c r="T9" s="7"/>
      <c r="U9" s="7"/>
    </row>
    <row r="10" spans="1:21" ht="15" customHeight="1" x14ac:dyDescent="0.25">
      <c r="L10" s="7"/>
      <c r="M10" s="7"/>
      <c r="N10" s="7"/>
      <c r="O10" s="7"/>
      <c r="P10" s="7"/>
      <c r="Q10" s="7"/>
      <c r="R10" s="7"/>
      <c r="S10" s="7"/>
      <c r="T10" s="7"/>
      <c r="U10" s="7"/>
    </row>
    <row r="11" spans="1:21" ht="15" customHeight="1" x14ac:dyDescent="0.25">
      <c r="L11" s="7"/>
      <c r="M11" s="7"/>
      <c r="N11" s="7"/>
      <c r="O11" s="7"/>
      <c r="P11" s="7"/>
      <c r="Q11" s="7"/>
      <c r="R11" s="7"/>
      <c r="S11" s="7"/>
      <c r="T11" s="7"/>
      <c r="U11" s="7"/>
    </row>
    <row r="12" spans="1:21" ht="15" customHeight="1" x14ac:dyDescent="0.25">
      <c r="L12" s="7"/>
      <c r="M12" s="7"/>
      <c r="N12" s="7"/>
      <c r="O12" s="7"/>
      <c r="P12" s="7"/>
      <c r="Q12" s="7"/>
      <c r="R12" s="7"/>
      <c r="S12" s="7"/>
      <c r="T12" s="7"/>
      <c r="U12" s="7"/>
    </row>
    <row r="13" spans="1:21" ht="15" customHeight="1" x14ac:dyDescent="0.25">
      <c r="L13" s="7"/>
      <c r="M13" s="7"/>
      <c r="N13" s="7"/>
      <c r="O13" s="7"/>
      <c r="P13" s="7"/>
      <c r="Q13" s="7"/>
      <c r="R13" s="7"/>
      <c r="S13" s="7"/>
      <c r="T13" s="7"/>
      <c r="U13" s="7"/>
    </row>
    <row r="14" spans="1:21" ht="15" customHeight="1" x14ac:dyDescent="0.25">
      <c r="L14" s="7"/>
      <c r="M14" s="7"/>
      <c r="N14" s="7"/>
      <c r="O14" s="7"/>
      <c r="P14" s="7"/>
      <c r="Q14" s="7"/>
      <c r="R14" s="7"/>
      <c r="S14" s="7"/>
      <c r="T14" s="7"/>
      <c r="U14" s="7"/>
    </row>
    <row r="15" spans="1:21" ht="15" customHeight="1" x14ac:dyDescent="0.25">
      <c r="L15" s="7"/>
      <c r="M15" s="7"/>
      <c r="N15" s="7"/>
      <c r="O15" s="7"/>
      <c r="P15" s="7"/>
      <c r="Q15" s="7"/>
      <c r="R15" s="7"/>
      <c r="S15" s="7"/>
      <c r="T15" s="7"/>
      <c r="U15" s="7"/>
    </row>
    <row r="16" spans="1:21" x14ac:dyDescent="0.25">
      <c r="L16" s="7"/>
      <c r="M16" s="7"/>
      <c r="N16" s="7"/>
      <c r="O16" s="7"/>
      <c r="P16" s="7"/>
      <c r="Q16" s="7"/>
      <c r="R16" s="7"/>
      <c r="S16" s="7"/>
      <c r="T16" s="7"/>
      <c r="U16" s="7"/>
    </row>
  </sheetData>
  <mergeCells count="1">
    <mergeCell ref="L6:U1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75410-10BE-4B82-8AE9-C95BC1CEA39E}">
  <dimension ref="A1:P7"/>
  <sheetViews>
    <sheetView workbookViewId="0">
      <selection activeCell="B6" sqref="B2:B6"/>
    </sheetView>
  </sheetViews>
  <sheetFormatPr defaultRowHeight="15" x14ac:dyDescent="0.25"/>
  <cols>
    <col min="1" max="1" width="19.140625" bestFit="1" customWidth="1"/>
    <col min="2" max="2" width="14.7109375" bestFit="1" customWidth="1"/>
    <col min="3" max="3" width="16.85546875" bestFit="1" customWidth="1"/>
    <col min="4" max="4" width="14.28515625" bestFit="1" customWidth="1"/>
  </cols>
  <sheetData>
    <row r="1" spans="1:16" ht="18" thickBot="1" x14ac:dyDescent="0.3">
      <c r="A1" s="4" t="s">
        <v>10</v>
      </c>
      <c r="B1" s="4" t="s">
        <v>11</v>
      </c>
      <c r="C1" s="4" t="s">
        <v>12</v>
      </c>
      <c r="D1" s="4" t="s">
        <v>13</v>
      </c>
    </row>
    <row r="2" spans="1:16" ht="18" thickBot="1" x14ac:dyDescent="0.3">
      <c r="A2" s="2" t="s">
        <v>14</v>
      </c>
      <c r="B2" s="2" t="str">
        <f>TRIM(A2)</f>
        <v>john DOE</v>
      </c>
      <c r="C2" s="2" t="str">
        <f>UPPER(A2)</f>
        <v>JOHN DOE</v>
      </c>
      <c r="D2" s="2" t="str">
        <f>PROPER(A2)</f>
        <v>John Doe</v>
      </c>
      <c r="J2" s="8" t="s">
        <v>19</v>
      </c>
      <c r="K2" s="9"/>
      <c r="L2" s="9"/>
      <c r="M2" s="9"/>
      <c r="N2" s="9"/>
      <c r="O2" s="9"/>
      <c r="P2" s="9"/>
    </row>
    <row r="3" spans="1:16" ht="18" thickBot="1" x14ac:dyDescent="0.3">
      <c r="A3" s="3" t="s">
        <v>15</v>
      </c>
      <c r="B3" s="2" t="str">
        <f t="shared" ref="B3:B6" si="0">TRIM(A3)</f>
        <v>mary jane</v>
      </c>
      <c r="C3" s="2" t="str">
        <f t="shared" ref="C3:C6" si="1">UPPER(A3)</f>
        <v>MARY JANE</v>
      </c>
      <c r="D3" s="2" t="str">
        <f t="shared" ref="D3:D6" si="2">PROPER(A3)</f>
        <v>Mary Jane</v>
      </c>
      <c r="J3" s="9"/>
      <c r="K3" s="9"/>
      <c r="L3" s="9"/>
      <c r="M3" s="9"/>
      <c r="N3" s="9"/>
      <c r="O3" s="9"/>
      <c r="P3" s="9"/>
    </row>
    <row r="4" spans="1:16" ht="18" thickBot="1" x14ac:dyDescent="0.3">
      <c r="A4" s="2" t="s">
        <v>16</v>
      </c>
      <c r="B4" s="2" t="str">
        <f t="shared" si="0"/>
        <v>robert smith</v>
      </c>
      <c r="C4" s="2" t="str">
        <f t="shared" si="1"/>
        <v>ROBERT SMITH</v>
      </c>
      <c r="D4" s="2" t="str">
        <f t="shared" si="2"/>
        <v>Robert Smith</v>
      </c>
      <c r="J4" s="9"/>
      <c r="K4" s="9"/>
      <c r="L4" s="9"/>
      <c r="M4" s="9"/>
      <c r="N4" s="9"/>
      <c r="O4" s="9"/>
      <c r="P4" s="9"/>
    </row>
    <row r="5" spans="1:16" ht="18" thickBot="1" x14ac:dyDescent="0.3">
      <c r="A5" s="3" t="s">
        <v>17</v>
      </c>
      <c r="B5" s="2" t="str">
        <f t="shared" si="0"/>
        <v>lisa Ann</v>
      </c>
      <c r="C5" s="2" t="str">
        <f t="shared" si="1"/>
        <v>LISA ANN</v>
      </c>
      <c r="D5" s="2" t="str">
        <f t="shared" si="2"/>
        <v>Lisa Ann</v>
      </c>
      <c r="J5" s="9"/>
      <c r="K5" s="9"/>
      <c r="L5" s="9"/>
      <c r="M5" s="9"/>
      <c r="N5" s="9"/>
      <c r="O5" s="9"/>
      <c r="P5" s="9"/>
    </row>
    <row r="6" spans="1:16" ht="18" thickBot="1" x14ac:dyDescent="0.3">
      <c r="A6" s="2" t="s">
        <v>18</v>
      </c>
      <c r="B6" s="2" t="str">
        <f t="shared" si="0"/>
        <v>david BROWN</v>
      </c>
      <c r="C6" s="2" t="str">
        <f t="shared" si="1"/>
        <v>DAVID BROWN</v>
      </c>
      <c r="D6" s="2" t="str">
        <f t="shared" si="2"/>
        <v>David Brown</v>
      </c>
      <c r="J6" s="9"/>
      <c r="K6" s="9"/>
      <c r="L6" s="9"/>
      <c r="M6" s="9"/>
      <c r="N6" s="9"/>
      <c r="O6" s="9"/>
      <c r="P6" s="9"/>
    </row>
    <row r="7" spans="1:16" x14ac:dyDescent="0.25">
      <c r="J7" s="9"/>
      <c r="K7" s="9"/>
      <c r="L7" s="9"/>
      <c r="M7" s="9"/>
      <c r="N7" s="9"/>
      <c r="O7" s="9"/>
      <c r="P7" s="9"/>
    </row>
  </sheetData>
  <mergeCells count="1">
    <mergeCell ref="J2:P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ADC88-7DC3-4BE9-BC02-82F89CFD55E6}">
  <dimension ref="A1:Q8"/>
  <sheetViews>
    <sheetView zoomScaleNormal="100" workbookViewId="0">
      <selection activeCell="C5" sqref="C5"/>
    </sheetView>
  </sheetViews>
  <sheetFormatPr defaultRowHeight="15" x14ac:dyDescent="0.25"/>
  <cols>
    <col min="1" max="1" width="26.140625" bestFit="1" customWidth="1"/>
    <col min="2" max="2" width="15.85546875" bestFit="1" customWidth="1"/>
    <col min="3" max="3" width="12" bestFit="1" customWidth="1"/>
  </cols>
  <sheetData>
    <row r="1" spans="1:17" ht="18" thickBot="1" x14ac:dyDescent="0.3">
      <c r="A1" s="1" t="s">
        <v>20</v>
      </c>
      <c r="B1" s="1" t="s">
        <v>21</v>
      </c>
      <c r="C1" s="1" t="s">
        <v>22</v>
      </c>
    </row>
    <row r="2" spans="1:17" ht="18" thickBot="1" x14ac:dyDescent="0.3">
      <c r="A2" s="5" t="s">
        <v>23</v>
      </c>
      <c r="B2" s="2" t="str">
        <f>MID(A2,FIND(".",A2),FIND(".",A2)-5)</f>
        <v>.google</v>
      </c>
      <c r="C2" s="3" t="str">
        <f>RIGHT(A2,LEN(A2)-FIND(".",A2))</f>
        <v>google.com</v>
      </c>
    </row>
    <row r="3" spans="1:17" ht="18" thickBot="1" x14ac:dyDescent="0.3">
      <c r="A3" s="6" t="s">
        <v>24</v>
      </c>
      <c r="B3" s="2" t="str">
        <f t="shared" ref="B3:B6" si="0">MID(A3,FIND(".",A3),FIND(".",A3)-5)</f>
        <v>.amazon</v>
      </c>
      <c r="C3" s="3" t="str">
        <f>RIGHT(A3,LEN(A3)-FIND(".",A3))</f>
        <v>amazon.in</v>
      </c>
      <c r="J3" s="10" t="s">
        <v>46</v>
      </c>
      <c r="K3" s="11"/>
      <c r="L3" s="11"/>
      <c r="M3" s="11"/>
      <c r="N3" s="11"/>
      <c r="O3" s="11"/>
      <c r="P3" s="11"/>
      <c r="Q3" s="11"/>
    </row>
    <row r="4" spans="1:17" ht="18" thickBot="1" x14ac:dyDescent="0.3">
      <c r="A4" s="5" t="s">
        <v>25</v>
      </c>
      <c r="B4" s="2" t="str">
        <f t="shared" si="0"/>
        <v>.examp</v>
      </c>
      <c r="C4" s="3" t="str">
        <f t="shared" ref="C4:C6" si="1">RIGHT(A4,LEN(A4)-FIND(".",A4))</f>
        <v>example.org</v>
      </c>
      <c r="J4" s="11"/>
      <c r="K4" s="11"/>
      <c r="L4" s="11"/>
      <c r="M4" s="11"/>
      <c r="N4" s="11"/>
      <c r="O4" s="11"/>
      <c r="P4" s="11"/>
      <c r="Q4" s="11"/>
    </row>
    <row r="5" spans="1:17" ht="18" thickBot="1" x14ac:dyDescent="0.3">
      <c r="A5" s="6" t="s">
        <v>26</v>
      </c>
      <c r="B5" s="2" t="str">
        <f t="shared" si="0"/>
        <v>.wikipe</v>
      </c>
      <c r="C5" s="3" t="str">
        <f t="shared" si="1"/>
        <v>wikipedia.org</v>
      </c>
      <c r="J5" s="11"/>
      <c r="K5" s="11"/>
      <c r="L5" s="11"/>
      <c r="M5" s="11"/>
      <c r="N5" s="11"/>
      <c r="O5" s="11"/>
      <c r="P5" s="11"/>
      <c r="Q5" s="11"/>
    </row>
    <row r="6" spans="1:17" ht="18" thickBot="1" x14ac:dyDescent="0.3">
      <c r="A6" s="5" t="s">
        <v>27</v>
      </c>
      <c r="B6" s="2" t="str">
        <f t="shared" si="0"/>
        <v>.compa</v>
      </c>
      <c r="C6" s="3" t="str">
        <f t="shared" si="1"/>
        <v>company.co.uk</v>
      </c>
      <c r="J6" s="11"/>
      <c r="K6" s="11"/>
      <c r="L6" s="11"/>
      <c r="M6" s="11"/>
      <c r="N6" s="11"/>
      <c r="O6" s="11"/>
      <c r="P6" s="11"/>
      <c r="Q6" s="11"/>
    </row>
    <row r="7" spans="1:17" x14ac:dyDescent="0.25">
      <c r="J7" s="11"/>
      <c r="K7" s="11"/>
      <c r="L7" s="11"/>
      <c r="M7" s="11"/>
      <c r="N7" s="11"/>
      <c r="O7" s="11"/>
      <c r="P7" s="11"/>
      <c r="Q7" s="11"/>
    </row>
    <row r="8" spans="1:17" x14ac:dyDescent="0.25">
      <c r="J8" s="11"/>
      <c r="K8" s="11"/>
      <c r="L8" s="11"/>
      <c r="M8" s="11"/>
      <c r="N8" s="11"/>
      <c r="O8" s="11"/>
      <c r="P8" s="11"/>
      <c r="Q8" s="11"/>
    </row>
  </sheetData>
  <mergeCells count="1">
    <mergeCell ref="J3:Q8"/>
  </mergeCells>
  <hyperlinks>
    <hyperlink ref="A2" r:id="rId1" display="https://www.google.com/" xr:uid="{00B346EF-77EF-4316-BCC0-544AC223FD89}"/>
    <hyperlink ref="A3" r:id="rId2" display="https://www.amazon.in/" xr:uid="{69F96DFA-262D-46BA-A221-21B2C8F2CD30}"/>
    <hyperlink ref="A4" r:id="rId3" display="http://www.example.org/" xr:uid="{4382E04B-9C72-4AB9-A882-B71E9FE16F9F}"/>
    <hyperlink ref="A5" r:id="rId4" display="https://www.wikipedia.org/" xr:uid="{172B39FC-644A-47C4-B074-F7A8A604969B}"/>
    <hyperlink ref="A6" r:id="rId5" display="http://www.company.co.uk/" xr:uid="{FAD5D431-0BB8-4C7A-ADC1-58FF02DD68F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D669D-7F5D-4F20-836C-4866E9747A12}">
  <dimension ref="A1:R11"/>
  <sheetViews>
    <sheetView workbookViewId="0">
      <selection activeCell="D2" sqref="D2"/>
    </sheetView>
  </sheetViews>
  <sheetFormatPr defaultRowHeight="15" x14ac:dyDescent="0.25"/>
  <cols>
    <col min="1" max="1" width="17.7109375" bestFit="1" customWidth="1"/>
    <col min="2" max="2" width="7.7109375" bestFit="1" customWidth="1"/>
    <col min="3" max="3" width="10.42578125" bestFit="1" customWidth="1"/>
    <col min="4" max="4" width="7.7109375" bestFit="1" customWidth="1"/>
  </cols>
  <sheetData>
    <row r="1" spans="1:18" ht="18" thickBot="1" x14ac:dyDescent="0.3">
      <c r="A1" s="1" t="s">
        <v>28</v>
      </c>
      <c r="B1" s="1" t="s">
        <v>29</v>
      </c>
      <c r="C1" s="1" t="s">
        <v>30</v>
      </c>
      <c r="D1" s="1" t="s">
        <v>31</v>
      </c>
    </row>
    <row r="2" spans="1:18" ht="18" thickBot="1" x14ac:dyDescent="0.3">
      <c r="A2" s="2" t="s">
        <v>32</v>
      </c>
      <c r="B2" s="2" t="str">
        <f>LEFT(A2,3)</f>
        <v>INV</v>
      </c>
      <c r="C2" s="2" t="str">
        <f>MID(A2,5,6)</f>
        <v>202301</v>
      </c>
      <c r="D2" s="2" t="str">
        <f>RIGHT(A2,2)</f>
        <v>US</v>
      </c>
    </row>
    <row r="3" spans="1:18" ht="18" thickBot="1" x14ac:dyDescent="0.3">
      <c r="A3" s="3" t="s">
        <v>33</v>
      </c>
      <c r="B3" s="2" t="str">
        <f t="shared" ref="B3:B6" si="0">LEFT(A3,3)</f>
        <v>INV</v>
      </c>
      <c r="C3" s="2" t="str">
        <f t="shared" ref="C3:C6" si="1">MID(A3,5,6)</f>
        <v>202302</v>
      </c>
      <c r="D3" s="2" t="str">
        <f t="shared" ref="D3:D6" si="2">RIGHT(A3,2)</f>
        <v>UK</v>
      </c>
      <c r="L3" s="7" t="s">
        <v>45</v>
      </c>
      <c r="M3" s="12"/>
      <c r="N3" s="12"/>
      <c r="O3" s="12"/>
      <c r="P3" s="12"/>
      <c r="Q3" s="12"/>
      <c r="R3" s="12"/>
    </row>
    <row r="4" spans="1:18" ht="18" thickBot="1" x14ac:dyDescent="0.3">
      <c r="A4" s="2" t="s">
        <v>34</v>
      </c>
      <c r="B4" s="2" t="str">
        <f t="shared" si="0"/>
        <v>INV</v>
      </c>
      <c r="C4" s="2" t="str">
        <f t="shared" si="1"/>
        <v>202303</v>
      </c>
      <c r="D4" s="2" t="str">
        <f t="shared" si="2"/>
        <v>IN</v>
      </c>
      <c r="L4" s="12"/>
      <c r="M4" s="12"/>
      <c r="N4" s="12"/>
      <c r="O4" s="12"/>
      <c r="P4" s="12"/>
      <c r="Q4" s="12"/>
      <c r="R4" s="12"/>
    </row>
    <row r="5" spans="1:18" ht="18" thickBot="1" x14ac:dyDescent="0.3">
      <c r="A5" s="3" t="s">
        <v>35</v>
      </c>
      <c r="B5" s="2" t="str">
        <f t="shared" si="0"/>
        <v>INV</v>
      </c>
      <c r="C5" s="2" t="str">
        <f t="shared" si="1"/>
        <v>202304</v>
      </c>
      <c r="D5" s="2" t="str">
        <f t="shared" si="2"/>
        <v>AU</v>
      </c>
      <c r="L5" s="12"/>
      <c r="M5" s="12"/>
      <c r="N5" s="12"/>
      <c r="O5" s="12"/>
      <c r="P5" s="12"/>
      <c r="Q5" s="12"/>
      <c r="R5" s="12"/>
    </row>
    <row r="6" spans="1:18" ht="18" thickBot="1" x14ac:dyDescent="0.3">
      <c r="A6" s="2" t="s">
        <v>36</v>
      </c>
      <c r="B6" s="2" t="str">
        <f t="shared" si="0"/>
        <v>INV</v>
      </c>
      <c r="C6" s="2" t="str">
        <f t="shared" si="1"/>
        <v>202305</v>
      </c>
      <c r="D6" s="2" t="str">
        <f t="shared" si="2"/>
        <v>US</v>
      </c>
      <c r="L6" s="12"/>
      <c r="M6" s="12"/>
      <c r="N6" s="12"/>
      <c r="O6" s="12"/>
      <c r="P6" s="12"/>
      <c r="Q6" s="12"/>
      <c r="R6" s="12"/>
    </row>
    <row r="7" spans="1:18" x14ac:dyDescent="0.25">
      <c r="L7" s="12"/>
      <c r="M7" s="12"/>
      <c r="N7" s="12"/>
      <c r="O7" s="12"/>
      <c r="P7" s="12"/>
      <c r="Q7" s="12"/>
      <c r="R7" s="12"/>
    </row>
    <row r="8" spans="1:18" x14ac:dyDescent="0.25">
      <c r="L8" s="12"/>
      <c r="M8" s="12"/>
      <c r="N8" s="12"/>
      <c r="O8" s="12"/>
      <c r="P8" s="12"/>
      <c r="Q8" s="12"/>
      <c r="R8" s="12"/>
    </row>
    <row r="9" spans="1:18" x14ac:dyDescent="0.25">
      <c r="L9" s="12"/>
      <c r="M9" s="12"/>
      <c r="N9" s="12"/>
      <c r="O9" s="12"/>
      <c r="P9" s="12"/>
      <c r="Q9" s="12"/>
      <c r="R9" s="12"/>
    </row>
    <row r="10" spans="1:18" x14ac:dyDescent="0.25">
      <c r="L10" s="12"/>
      <c r="M10" s="12"/>
      <c r="N10" s="12"/>
      <c r="O10" s="12"/>
      <c r="P10" s="12"/>
      <c r="Q10" s="12"/>
      <c r="R10" s="12"/>
    </row>
    <row r="11" spans="1:18" x14ac:dyDescent="0.25">
      <c r="L11" s="12"/>
      <c r="M11" s="12"/>
      <c r="N11" s="12"/>
      <c r="O11" s="12"/>
      <c r="P11" s="12"/>
      <c r="Q11" s="12"/>
      <c r="R11" s="12"/>
    </row>
  </sheetData>
  <mergeCells count="1">
    <mergeCell ref="L3:R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E9AE6-12EF-499D-A2FC-6B057E49EFD1}">
  <dimension ref="A1:R10"/>
  <sheetViews>
    <sheetView tabSelected="1" workbookViewId="0">
      <selection activeCell="D2" sqref="D2"/>
    </sheetView>
  </sheetViews>
  <sheetFormatPr defaultRowHeight="15" x14ac:dyDescent="0.25"/>
  <cols>
    <col min="1" max="1" width="20.85546875" bestFit="1" customWidth="1"/>
    <col min="2" max="2" width="19.5703125" bestFit="1" customWidth="1"/>
    <col min="3" max="3" width="16.85546875" bestFit="1" customWidth="1"/>
    <col min="4" max="4" width="16.42578125" customWidth="1"/>
  </cols>
  <sheetData>
    <row r="1" spans="1:18" ht="18" thickBot="1" x14ac:dyDescent="0.3">
      <c r="A1" s="1" t="s">
        <v>37</v>
      </c>
      <c r="B1" s="1" t="s">
        <v>38</v>
      </c>
      <c r="C1" s="1" t="s">
        <v>3</v>
      </c>
      <c r="D1" s="1" t="s">
        <v>30</v>
      </c>
    </row>
    <row r="2" spans="1:18" ht="18" thickBot="1" x14ac:dyDescent="0.3">
      <c r="A2" s="2" t="s">
        <v>39</v>
      </c>
      <c r="B2" s="2" t="str">
        <f>TRIM(SUBSTITUTE(A2,"-",""))</f>
        <v>+1 9876543210</v>
      </c>
      <c r="C2" s="2" t="str">
        <f>LEFT(A2,FIND(" ",A2))</f>
        <v xml:space="preserve">+1 </v>
      </c>
      <c r="D2" s="2" t="str">
        <f>MID(B2, FIND(" ", B2)+1, LEN(B2))</f>
        <v>9876543210</v>
      </c>
    </row>
    <row r="3" spans="1:18" ht="18" thickBot="1" x14ac:dyDescent="0.3">
      <c r="A3" s="3" t="s">
        <v>40</v>
      </c>
      <c r="B3" s="2" t="str">
        <f t="shared" ref="B3:B6" si="0">TRIM(SUBSTITUTE(A3,"-",""))</f>
        <v>+44 1234567890</v>
      </c>
      <c r="C3" s="2" t="str">
        <f t="shared" ref="C3:C6" si="1">LEFT(A3,FIND(" ",A3))</f>
        <v xml:space="preserve">+44 </v>
      </c>
      <c r="D3" s="2" t="str">
        <f t="shared" ref="D3:D6" si="2">MID(B3, FIND(" ", B3)+1, LEN(B3))</f>
        <v>1234567890</v>
      </c>
      <c r="K3" s="7" t="s">
        <v>44</v>
      </c>
      <c r="L3" s="12"/>
      <c r="M3" s="12"/>
      <c r="N3" s="12"/>
      <c r="O3" s="12"/>
      <c r="P3" s="12"/>
      <c r="Q3" s="12"/>
      <c r="R3" s="12"/>
    </row>
    <row r="4" spans="1:18" ht="18" thickBot="1" x14ac:dyDescent="0.3">
      <c r="A4" s="2" t="s">
        <v>41</v>
      </c>
      <c r="B4" s="2" t="str">
        <f t="shared" si="0"/>
        <v>+91 9876543210</v>
      </c>
      <c r="C4" s="2" t="str">
        <f t="shared" si="1"/>
        <v xml:space="preserve">+91 </v>
      </c>
      <c r="D4" s="2" t="str">
        <f t="shared" si="2"/>
        <v>9876543210</v>
      </c>
      <c r="K4" s="12"/>
      <c r="L4" s="12"/>
      <c r="M4" s="12"/>
      <c r="N4" s="12"/>
      <c r="O4" s="12"/>
      <c r="P4" s="12"/>
      <c r="Q4" s="12"/>
      <c r="R4" s="12"/>
    </row>
    <row r="5" spans="1:18" ht="18" thickBot="1" x14ac:dyDescent="0.3">
      <c r="A5" s="3" t="s">
        <v>42</v>
      </c>
      <c r="B5" s="2" t="str">
        <f t="shared" si="0"/>
        <v>+61 412345678</v>
      </c>
      <c r="C5" s="2" t="str">
        <f t="shared" si="1"/>
        <v xml:space="preserve">+61 </v>
      </c>
      <c r="D5" s="2" t="str">
        <f t="shared" si="2"/>
        <v>412345678</v>
      </c>
      <c r="K5" s="12"/>
      <c r="L5" s="12"/>
      <c r="M5" s="12"/>
      <c r="N5" s="12"/>
      <c r="O5" s="12"/>
      <c r="P5" s="12"/>
      <c r="Q5" s="12"/>
      <c r="R5" s="12"/>
    </row>
    <row r="6" spans="1:18" ht="18" thickBot="1" x14ac:dyDescent="0.3">
      <c r="A6" s="2" t="s">
        <v>43</v>
      </c>
      <c r="B6" s="2" t="str">
        <f t="shared" si="0"/>
        <v>+49 1512345678</v>
      </c>
      <c r="C6" s="2" t="str">
        <f t="shared" si="1"/>
        <v xml:space="preserve">+49 </v>
      </c>
      <c r="D6" s="2" t="str">
        <f t="shared" si="2"/>
        <v>1512345678</v>
      </c>
      <c r="K6" s="12"/>
      <c r="L6" s="12"/>
      <c r="M6" s="12"/>
      <c r="N6" s="12"/>
      <c r="O6" s="12"/>
      <c r="P6" s="12"/>
      <c r="Q6" s="12"/>
      <c r="R6" s="12"/>
    </row>
    <row r="7" spans="1:18" x14ac:dyDescent="0.25">
      <c r="K7" s="12"/>
      <c r="L7" s="12"/>
      <c r="M7" s="12"/>
      <c r="N7" s="12"/>
      <c r="O7" s="12"/>
      <c r="P7" s="12"/>
      <c r="Q7" s="12"/>
      <c r="R7" s="12"/>
    </row>
    <row r="8" spans="1:18" x14ac:dyDescent="0.25">
      <c r="K8" s="12"/>
      <c r="L8" s="12"/>
      <c r="M8" s="12"/>
      <c r="N8" s="12"/>
      <c r="O8" s="12"/>
      <c r="P8" s="12"/>
      <c r="Q8" s="12"/>
      <c r="R8" s="12"/>
    </row>
    <row r="9" spans="1:18" x14ac:dyDescent="0.25">
      <c r="K9" s="12"/>
      <c r="L9" s="12"/>
      <c r="M9" s="12"/>
      <c r="N9" s="12"/>
      <c r="O9" s="12"/>
      <c r="P9" s="12"/>
      <c r="Q9" s="12"/>
      <c r="R9" s="12"/>
    </row>
    <row r="10" spans="1:18" x14ac:dyDescent="0.25">
      <c r="K10" s="12"/>
      <c r="L10" s="12"/>
      <c r="M10" s="12"/>
      <c r="N10" s="12"/>
      <c r="O10" s="12"/>
      <c r="P10" s="12"/>
      <c r="Q10" s="12"/>
      <c r="R10" s="12"/>
    </row>
  </sheetData>
  <mergeCells count="1">
    <mergeCell ref="K3:R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ASDC43</dc:creator>
  <cp:lastModifiedBy>ASDC43</cp:lastModifiedBy>
  <dcterms:created xsi:type="dcterms:W3CDTF">2026-01-25T08:13:57Z</dcterms:created>
  <dcterms:modified xsi:type="dcterms:W3CDTF">2026-02-07T13:30:55Z</dcterms:modified>
</cp:coreProperties>
</file>