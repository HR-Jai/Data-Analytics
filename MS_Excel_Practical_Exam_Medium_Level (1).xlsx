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37\Downloads\"/>
    </mc:Choice>
  </mc:AlternateContent>
  <xr:revisionPtr revIDLastSave="0" documentId="13_ncr:1_{4921AA7F-67DF-4029-82C4-0AD92AD05C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</sheets>
  <calcPr calcId="191029"/>
  <pivotCaches>
    <pivotCache cacheId="1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2" i="2" l="1"/>
  <c r="AB3" i="2"/>
  <c r="AB4" i="2"/>
  <c r="AB5" i="2"/>
  <c r="AB6" i="2"/>
  <c r="AB7" i="2"/>
  <c r="AB2" i="2"/>
  <c r="AA3" i="2"/>
  <c r="AA4" i="2"/>
  <c r="AA5" i="2"/>
  <c r="AA6" i="2"/>
  <c r="AA7" i="2"/>
  <c r="AA2" i="2"/>
  <c r="S3" i="4"/>
  <c r="S4" i="4"/>
  <c r="S5" i="4"/>
  <c r="S6" i="4"/>
  <c r="S2" i="4"/>
  <c r="Q2" i="4"/>
  <c r="K3" i="4"/>
  <c r="K4" i="4"/>
  <c r="K5" i="4"/>
  <c r="K6" i="4"/>
  <c r="K2" i="4"/>
  <c r="I3" i="4"/>
  <c r="I4" i="4"/>
  <c r="I5" i="4"/>
  <c r="I6" i="4"/>
  <c r="I2" i="4"/>
  <c r="H7" i="4"/>
  <c r="J2" i="4"/>
  <c r="H3" i="4"/>
  <c r="H4" i="4"/>
  <c r="H5" i="4"/>
  <c r="H6" i="4"/>
  <c r="H2" i="4"/>
  <c r="R3" i="2"/>
  <c r="R4" i="2"/>
  <c r="R5" i="2"/>
  <c r="R6" i="2"/>
  <c r="R7" i="2"/>
  <c r="R2" i="2"/>
  <c r="O6" i="2"/>
  <c r="O7" i="2"/>
  <c r="O3" i="2"/>
  <c r="O4" i="2"/>
  <c r="O5" i="2"/>
  <c r="O2" i="2"/>
  <c r="N3" i="2"/>
  <c r="N4" i="2"/>
  <c r="N5" i="2"/>
  <c r="N2" i="2"/>
  <c r="L2" i="2"/>
  <c r="I3" i="2"/>
  <c r="J3" i="2" s="1"/>
  <c r="I4" i="2"/>
  <c r="J4" i="2" s="1"/>
  <c r="I5" i="2"/>
  <c r="J5" i="2" s="1"/>
  <c r="I6" i="2"/>
  <c r="J6" i="2" s="1"/>
  <c r="I7" i="2"/>
  <c r="J7" i="2" s="1"/>
  <c r="I2" i="2"/>
  <c r="I8" i="2" s="1"/>
  <c r="D33" i="5"/>
  <c r="K7" i="2" l="1"/>
  <c r="K6" i="2"/>
  <c r="K5" i="2"/>
  <c r="K4" i="2"/>
  <c r="K3" i="2"/>
  <c r="J2" i="2"/>
  <c r="K2" i="2" l="1"/>
  <c r="J8" i="2"/>
  <c r="K8" i="2" l="1"/>
  <c r="Q3" i="2"/>
  <c r="Q2" i="2"/>
</calcChain>
</file>

<file path=xl/sharedStrings.xml><?xml version="1.0" encoding="utf-8"?>
<sst xmlns="http://schemas.openxmlformats.org/spreadsheetml/2006/main" count="166" uniqueCount="111">
  <si>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</si>
  <si>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</si>
  <si>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</si>
  <si>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</si>
  <si>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</si>
  <si>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</si>
  <si>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</si>
  <si>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</si>
  <si>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</si>
  <si>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</si>
  <si>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</si>
  <si>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</si>
  <si>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</si>
  <si>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</si>
  <si>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</si>
  <si>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</si>
  <si>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</si>
  <si>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</si>
  <si>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</si>
  <si>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</si>
  <si>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</si>
  <si>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</si>
  <si>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</si>
  <si>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</si>
  <si>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</si>
  <si>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</si>
  <si>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</si>
  <si>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</si>
  <si>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</si>
  <si>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</si>
  <si>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</si>
  <si>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</si>
  <si>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</si>
  <si>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</si>
  <si>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</si>
  <si>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</si>
  <si>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</si>
  <si>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</si>
  <si>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</si>
  <si>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</si>
  <si>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</si>
  <si>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</si>
  <si>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MS Excel Practical Exam</t>
  </si>
  <si>
    <t>Sr.No</t>
  </si>
  <si>
    <t>Task</t>
  </si>
  <si>
    <t>Marks</t>
  </si>
  <si>
    <t xml:space="preserve"> Calculate Total Sales for each order (Quantity × Unit_Price).</t>
  </si>
  <si>
    <t xml:space="preserve"> Calculate GST Amount using VLOOKUP from Product_Master.</t>
  </si>
  <si>
    <t xml:space="preserve"> Find Final Amount payable (Total Sales + GST).</t>
  </si>
  <si>
    <t xml:space="preserve"> Find Grand Total of Final Amount.</t>
  </si>
  <si>
    <t xml:space="preserve"> Count total number of orders using COUNTA.</t>
  </si>
  <si>
    <t xml:space="preserve"> Find Region-wise total sales using SUMIF.</t>
  </si>
  <si>
    <t xml:space="preserve"> Use IF to classify Quantity as High (&gt;3) or Low (&lt;=3).</t>
  </si>
  <si>
    <t xml:space="preserve"> Find the maximum and minimum Final Amount.</t>
  </si>
  <si>
    <t xml:space="preserve"> Extract month name from Sales_Date.</t>
  </si>
  <si>
    <t xml:space="preserve"> Sort Sales_Data by Final Amount (Descending).</t>
  </si>
  <si>
    <t xml:space="preserve"> Use INDEX-MATCH to fetch Product Category.</t>
  </si>
  <si>
    <t xml:space="preserve"> Calculate average marks of each student.</t>
  </si>
  <si>
    <t xml:space="preserve"> Find the topper based on average marks.</t>
  </si>
  <si>
    <t xml:space="preserve"> Count students with Attendance above 90%.</t>
  </si>
  <si>
    <t xml:space="preserve"> Use IF to classify students as Eligible (Attendance &gt;= 85%).</t>
  </si>
  <si>
    <t xml:space="preserve"> Create a Pivot Table showing Product-wise Total Sales.</t>
  </si>
  <si>
    <t xml:space="preserve"> Create a Pivot Table showing Region-wise Total Sales.</t>
  </si>
  <si>
    <t xml:space="preserve"> Insert a Pivot Chart for Product-wise Sales.</t>
  </si>
  <si>
    <t xml:space="preserve"> Create a Bar Chart for Student Excel marks.</t>
  </si>
  <si>
    <t xml:space="preserve"> Find Median of Statistics marks.</t>
  </si>
  <si>
    <t xml:space="preserve"> Find Standard Deviation of Excel marks.</t>
  </si>
  <si>
    <t xml:space="preserve"> Use CONCAT to combine Student_ID and Name.</t>
  </si>
  <si>
    <t xml:space="preserve"> Use LEFT function to extract first 2 letters of Salesperson name.</t>
  </si>
  <si>
    <t xml:space="preserve"> Apply Conditional Formatting to highlight Final Amount &gt; 60000.</t>
  </si>
  <si>
    <t xml:space="preserve"> Filter orders where Product is Laptop and Quantity &gt; 1.</t>
  </si>
  <si>
    <t xml:space="preserve"> Use COUNTIFS to count Laptop orders in North region.</t>
  </si>
  <si>
    <t xml:space="preserve"> Use ROUND to round Unit_Price to nearest thousand.</t>
  </si>
  <si>
    <t xml:space="preserve"> Remove duplicate records if present.</t>
  </si>
  <si>
    <t xml:space="preserve"> Freeze top row in Sales_Data sheet.</t>
  </si>
  <si>
    <t xml:space="preserve"> Protect the Student_Marks sheet.</t>
  </si>
  <si>
    <t>Ans 1</t>
  </si>
  <si>
    <t>Ans 2</t>
  </si>
  <si>
    <t>Ans 3</t>
  </si>
  <si>
    <t>Ans 4</t>
  </si>
  <si>
    <t>Ans 5</t>
  </si>
  <si>
    <t>Ans 6</t>
  </si>
  <si>
    <t>Ans 7</t>
  </si>
  <si>
    <t>Ans 8</t>
  </si>
  <si>
    <t>Ans 9</t>
  </si>
  <si>
    <t>Ans 10</t>
  </si>
  <si>
    <t>MAX</t>
  </si>
  <si>
    <t>MIN</t>
  </si>
  <si>
    <t>Desk Gaget</t>
  </si>
  <si>
    <t>Hand Gaget</t>
  </si>
  <si>
    <t>Product_Category</t>
  </si>
  <si>
    <t>Ans 12</t>
  </si>
  <si>
    <t>Ans 13</t>
  </si>
  <si>
    <t>Ans 14</t>
  </si>
  <si>
    <t>Ans 15</t>
  </si>
  <si>
    <t>Ans 16</t>
  </si>
  <si>
    <t>Grand AVG</t>
  </si>
  <si>
    <t>Row Labels</t>
  </si>
  <si>
    <t>Grand Total</t>
  </si>
  <si>
    <t>Sum of Unit_Price</t>
  </si>
  <si>
    <t>Ans 17</t>
  </si>
  <si>
    <t>Sum of Ans 1</t>
  </si>
  <si>
    <t>(All)</t>
  </si>
  <si>
    <t>Ans 18</t>
  </si>
  <si>
    <t>Ans 19</t>
  </si>
  <si>
    <t>Ans 20</t>
  </si>
  <si>
    <t>Ans 21</t>
  </si>
  <si>
    <t>Ans 22</t>
  </si>
  <si>
    <t>Ans 23</t>
  </si>
  <si>
    <t>Ans 24</t>
  </si>
  <si>
    <t>Ans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</si>
</sst>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 vertical="center" indent="1"/>
    </xf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Student_Marks!$E$1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Student_Marks!$B$2:$B$6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Student_Marks!$E$2:$E$6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4-47B2-9D9A-E598FEE7E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24560"/>
        <c:axId val="691412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Student_Marks!$C$1</c15:sqref>
                        </c15:formulaRef>
                      </c:ext>
                    </c:extLst>
                    <c:strCache>
                      <c:ptCount val="1"/>
                      <c:pt idx="0">
                        <c:v>Maths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Student_Marks!$B$2:$B$6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Sneha</c:v>
                      </c:pt>
                      <c:pt idx="2">
                        <c:v>Arjun</c:v>
                      </c:pt>
                      <c:pt idx="3">
                        <c:v>Pooja</c:v>
                      </c:pt>
                      <c:pt idx="4">
                        <c:v>Vikas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Student_Marks!$C$2:$C$6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78</c:v>
                      </c:pt>
                      <c:pt idx="1">
                        <c:v>88</c:v>
                      </c:pt>
                      <c:pt idx="2">
                        <c:v>65</c:v>
                      </c:pt>
                      <c:pt idx="3">
                        <c:v>92</c:v>
                      </c:pt>
                      <c:pt idx="4">
                        <c:v>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484-47B2-9D9A-E598FEE7E49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Student_Marks!$D$1</c15:sqref>
                        </c15:formulaRef>
                      </c:ext>
                    </c:extLst>
                    <c:strCache>
                      <c:ptCount val="1"/>
                      <c:pt idx="0">
                        <c:v>Statistics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Student_Marks!$B$2:$B$6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Sneha</c:v>
                      </c:pt>
                      <c:pt idx="2">
                        <c:v>Arjun</c:v>
                      </c:pt>
                      <c:pt idx="3">
                        <c:v>Pooja</c:v>
                      </c:pt>
                      <c:pt idx="4">
                        <c:v>Vikas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Student_Marks!$D$2:$D$6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82</c:v>
                      </c:pt>
                      <c:pt idx="1">
                        <c:v>91</c:v>
                      </c:pt>
                      <c:pt idx="2">
                        <c:v>70</c:v>
                      </c:pt>
                      <c:pt idx="3">
                        <c:v>89</c:v>
                      </c:pt>
                      <c:pt idx="4">
                        <c:v>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484-47B2-9D9A-E598FEE7E494}"/>
                  </c:ext>
                </c:extLst>
              </c15:ser>
            </c15:filteredBarSeries>
          </c:ext>
        </c:extLst>
      </c:barChart>
      <c:catAx>
        <c:axId val="691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1200"/>
        <c:crosses val="autoZero"/>
        <c:auto val="1"/>
        <c:lblAlgn val="ctr"/>
        <c:lblOffset val="100"/>
        <c:noMultiLvlLbl val="0"/>
      </c:catAx>
      <c:valAx>
        <c:axId val="691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609599</xdr:colOff>
      <xdr:row>1</xdr:row>
      <xdr:rowOff>9524</xdr:rowOff>
    </xdr:from>
    <xdr:to>
      <xdr:col>15</xdr:col>
      <xdr:colOff>600075</xdr:colOff>
      <xdr:row>11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B4F27B-B106-06B4-6E35-867CAEF7B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7" refreshedDate="46166.441817129627" createdVersion="8" refreshedVersion="8" minRefreshableVersion="3" recordCount="6" xr:uid="{1832BE39-73E3-4E9C-8E39-22ACE4CECD6E}">
  <cacheSource type="worksheet">
    <worksheetSource ref="A1:I7" sheet="Sales_Data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14">
      <sharedItems/>
    </cacheField>
    <cacheField name="Product_Category" numFmtId="14">
      <sharedItems/>
    </cacheField>
    <cacheField name="Ans 1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s v="Desk Gaget"/>
    <n v="90000"/>
  </r>
  <r>
    <n v="302"/>
    <x v="1"/>
    <s v="Riya"/>
    <x v="1"/>
    <n v="5"/>
    <n v="15000"/>
    <s v="07-01-2025"/>
    <s v="Hand Gaget"/>
    <n v="75000"/>
  </r>
  <r>
    <n v="303"/>
    <x v="2"/>
    <s v="Kunal"/>
    <x v="2"/>
    <n v="3"/>
    <n v="18000"/>
    <s v="10-01-2025"/>
    <s v="Hand Gaget"/>
    <n v="54000"/>
  </r>
  <r>
    <n v="304"/>
    <x v="3"/>
    <s v="Neha"/>
    <x v="0"/>
    <n v="1"/>
    <n v="45000"/>
    <s v="12-01-2025"/>
    <s v="Desk Gaget"/>
    <n v="45000"/>
  </r>
  <r>
    <n v="305"/>
    <x v="0"/>
    <s v="Amit"/>
    <x v="1"/>
    <n v="4"/>
    <n v="15000"/>
    <s v="15-01-2025"/>
    <s v="Hand Gaget"/>
    <n v="60000"/>
  </r>
  <r>
    <n v="306"/>
    <x v="1"/>
    <s v="Riya"/>
    <x v="0"/>
    <n v="2"/>
    <n v="45000"/>
    <s v="18-01-2025"/>
    <s v="Desk Gaget"/>
    <n v="9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504A6-DF2D-413F-8762-9E7585392F13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4:Z8" firstHeaderRow="1" firstDataRow="1" firstDataCol="1" rowPageCount="1" colPageCount="1"/>
  <pivotFields count="9"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AA363-7BB6-4018-8FEE-560192DC6119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:X7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s 1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D58B5-7D88-4280-9C01-691EFD2D3993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V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s 1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2" sqref="A2"/>
    </sheetView>
  </sheetViews>
  <sheetFormatPr defaultRowHeight="15" x14ac:dyDescent="0.25"/>
  <cols>
    <col min="1" max="1" width="90.28515625" bestFit="1" customWidth="1"/>
  </cols>
  <sheetData>
    <row r="1" spans="1:1" x14ac:dyDescent="0.25">
      <c r="A1" t="s">
        <v>42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"/>
  <sheetViews>
    <sheetView tabSelected="1" topLeftCell="F1" workbookViewId="0">
      <selection activeCell="AD2" sqref="AD2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1.7109375" bestFit="1" customWidth="1"/>
    <col min="4" max="4" width="7.85546875" bestFit="1" customWidth="1"/>
    <col min="5" max="5" width="8.7109375" bestFit="1" customWidth="1"/>
    <col min="6" max="6" width="10.140625" bestFit="1" customWidth="1"/>
    <col min="7" max="7" width="10.7109375" bestFit="1" customWidth="1"/>
    <col min="8" max="8" width="16.85546875" bestFit="1" customWidth="1"/>
    <col min="19" max="20" width="10.42578125" bestFit="1" customWidth="1"/>
    <col min="22" max="22" width="10.42578125" bestFit="1" customWidth="1"/>
    <col min="23" max="23" width="13.140625" bestFit="1" customWidth="1"/>
    <col min="24" max="24" width="12.28515625" bestFit="1" customWidth="1"/>
    <col min="25" max="25" width="13.140625" bestFit="1" customWidth="1"/>
    <col min="26" max="26" width="17" bestFit="1" customWidth="1"/>
  </cols>
  <sheetData>
    <row r="1" spans="1:3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90</v>
      </c>
      <c r="I1" t="s">
        <v>76</v>
      </c>
      <c r="J1" t="s">
        <v>77</v>
      </c>
      <c r="K1" t="s">
        <v>78</v>
      </c>
      <c r="L1" t="s">
        <v>80</v>
      </c>
      <c r="M1" s="8" t="s">
        <v>81</v>
      </c>
      <c r="N1" s="8"/>
      <c r="O1" t="s">
        <v>82</v>
      </c>
      <c r="P1" s="8" t="s">
        <v>83</v>
      </c>
      <c r="Q1" s="8"/>
      <c r="R1" t="s">
        <v>84</v>
      </c>
      <c r="S1" s="8" t="s">
        <v>85</v>
      </c>
      <c r="T1" s="8"/>
      <c r="U1" s="14" t="s">
        <v>95</v>
      </c>
      <c r="V1" s="7"/>
      <c r="W1" s="7" t="s">
        <v>100</v>
      </c>
      <c r="X1" s="7"/>
      <c r="Y1" s="7" t="s">
        <v>103</v>
      </c>
      <c r="Z1" s="7"/>
      <c r="AA1" t="s">
        <v>108</v>
      </c>
      <c r="AB1" t="s">
        <v>109</v>
      </c>
      <c r="AD1" t="s">
        <v>110</v>
      </c>
    </row>
    <row r="2" spans="1:30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s="3" t="s">
        <v>14</v>
      </c>
      <c r="H2" s="3" t="s">
        <v>88</v>
      </c>
      <c r="I2">
        <f>F2*E2</f>
        <v>90000</v>
      </c>
      <c r="J2">
        <f>I2*VLOOKUP(D2,Product_Master!A:C,3,FALSE)/100</f>
        <v>16200</v>
      </c>
      <c r="K2">
        <f>I2+J2</f>
        <v>106200</v>
      </c>
      <c r="L2" s="2">
        <f>COUNTA(D2:D7)</f>
        <v>6</v>
      </c>
      <c r="M2" s="9" t="s">
        <v>19</v>
      </c>
      <c r="N2" s="9">
        <f>SUMIF($B$2:$B$7,M2,$F$2:$F$7)</f>
        <v>18000</v>
      </c>
      <c r="O2" t="str">
        <f>IF(E2&lt;=3,"low","High")</f>
        <v>low</v>
      </c>
      <c r="P2" s="9" t="s">
        <v>87</v>
      </c>
      <c r="Q2" s="9">
        <f>MIN(K2:K7)</f>
        <v>53100</v>
      </c>
      <c r="R2" t="str">
        <f>TEXT(G2,"MMMM")</f>
        <v>January</v>
      </c>
      <c r="S2" s="9">
        <v>53100</v>
      </c>
      <c r="T2" s="10" t="s">
        <v>25</v>
      </c>
      <c r="U2" s="11" t="s">
        <v>97</v>
      </c>
      <c r="V2" t="s">
        <v>101</v>
      </c>
      <c r="W2" s="11" t="s">
        <v>97</v>
      </c>
      <c r="X2" t="s">
        <v>101</v>
      </c>
      <c r="Y2" s="11" t="s">
        <v>5</v>
      </c>
      <c r="Z2" t="s">
        <v>102</v>
      </c>
      <c r="AA2" t="str">
        <f>LEFT(C2,2)</f>
        <v>Am</v>
      </c>
      <c r="AB2">
        <f>K2</f>
        <v>106200</v>
      </c>
      <c r="AD2">
        <f>COUNTIFS(B1:D7,"Laptop",B1:D7,"North")</f>
        <v>0</v>
      </c>
    </row>
    <row r="3" spans="1:30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s="15">
        <v>45664</v>
      </c>
      <c r="H3" s="3" t="s">
        <v>89</v>
      </c>
      <c r="I3">
        <f>F3*E3</f>
        <v>75000</v>
      </c>
      <c r="J3">
        <f>I3*VLOOKUP(D3,Product_Master!A:C,3,FALSE)/100</f>
        <v>9000</v>
      </c>
      <c r="K3">
        <f t="shared" ref="K3:K7" si="0">I3+J3</f>
        <v>84000</v>
      </c>
      <c r="M3" s="9" t="s">
        <v>23</v>
      </c>
      <c r="N3" s="9">
        <f t="shared" ref="N3:N5" si="1">SUMIF($B$2:$B$7,M3,$F$2:$F$7)</f>
        <v>45000</v>
      </c>
      <c r="O3" t="str">
        <f>IF(E3&lt;=3,"low","High")</f>
        <v>High</v>
      </c>
      <c r="P3" s="9" t="s">
        <v>86</v>
      </c>
      <c r="Q3" s="9">
        <f>MAX(K2:K7)</f>
        <v>106200</v>
      </c>
      <c r="R3" t="str">
        <f>TEXT(G3,"MMMM")</f>
        <v>January</v>
      </c>
      <c r="S3" s="9">
        <v>60480</v>
      </c>
      <c r="T3" s="10" t="s">
        <v>22</v>
      </c>
      <c r="U3" s="12" t="s">
        <v>13</v>
      </c>
      <c r="V3" s="13">
        <v>225000</v>
      </c>
      <c r="W3" s="12" t="s">
        <v>19</v>
      </c>
      <c r="X3" s="13">
        <v>54000</v>
      </c>
      <c r="AA3" t="str">
        <f t="shared" ref="AA3:AA7" si="2">LEFT(C3,2)</f>
        <v>Ri</v>
      </c>
      <c r="AB3">
        <f t="shared" ref="AB3:AB7" si="3">K3</f>
        <v>84000</v>
      </c>
    </row>
    <row r="4" spans="1:30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s="3" t="s">
        <v>22</v>
      </c>
      <c r="H4" s="3" t="s">
        <v>89</v>
      </c>
      <c r="I4">
        <f>F4*E4</f>
        <v>54000</v>
      </c>
      <c r="J4">
        <f>I4*VLOOKUP(D4,Product_Master!A:C,3,FALSE)/100</f>
        <v>6480</v>
      </c>
      <c r="K4">
        <f t="shared" si="0"/>
        <v>60480</v>
      </c>
      <c r="M4" s="9" t="s">
        <v>11</v>
      </c>
      <c r="N4" s="9">
        <f t="shared" si="1"/>
        <v>60000</v>
      </c>
      <c r="O4" t="str">
        <f>IF(E4&lt;=3,"low","High")</f>
        <v>low</v>
      </c>
      <c r="R4" t="str">
        <f>TEXT(G4,"MMMM")</f>
        <v>January</v>
      </c>
      <c r="S4" s="9">
        <v>67200</v>
      </c>
      <c r="T4" s="10" t="s">
        <v>26</v>
      </c>
      <c r="U4" s="12" t="s">
        <v>17</v>
      </c>
      <c r="V4" s="13">
        <v>135000</v>
      </c>
      <c r="W4" s="12" t="s">
        <v>11</v>
      </c>
      <c r="X4" s="13">
        <v>150000</v>
      </c>
      <c r="Y4" s="11" t="s">
        <v>97</v>
      </c>
      <c r="Z4" t="s">
        <v>99</v>
      </c>
      <c r="AA4" t="str">
        <f t="shared" si="2"/>
        <v>Ku</v>
      </c>
      <c r="AB4">
        <f t="shared" si="3"/>
        <v>60480</v>
      </c>
    </row>
    <row r="5" spans="1:30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s="3" t="s">
        <v>25</v>
      </c>
      <c r="H5" s="3" t="s">
        <v>88</v>
      </c>
      <c r="I5">
        <f>F5*E5</f>
        <v>45000</v>
      </c>
      <c r="J5">
        <f>I5*VLOOKUP(D5,Product_Master!A:C,3,FALSE)/100</f>
        <v>8100</v>
      </c>
      <c r="K5">
        <f t="shared" si="0"/>
        <v>53100</v>
      </c>
      <c r="M5" s="9" t="s">
        <v>15</v>
      </c>
      <c r="N5" s="9">
        <f t="shared" si="1"/>
        <v>60000</v>
      </c>
      <c r="O5" t="str">
        <f>IF(E5&lt;=3,"low","High")</f>
        <v>low</v>
      </c>
      <c r="R5" t="str">
        <f>TEXT(G5,"MMMM")</f>
        <v>January</v>
      </c>
      <c r="S5" s="9">
        <v>84000</v>
      </c>
      <c r="T5" s="10" t="s">
        <v>18</v>
      </c>
      <c r="U5" s="12" t="s">
        <v>21</v>
      </c>
      <c r="V5" s="13">
        <v>54000</v>
      </c>
      <c r="W5" s="12" t="s">
        <v>15</v>
      </c>
      <c r="X5" s="13">
        <v>165000</v>
      </c>
      <c r="Y5" s="12" t="s">
        <v>13</v>
      </c>
      <c r="Z5" s="13">
        <v>135000</v>
      </c>
      <c r="AA5" t="str">
        <f t="shared" si="2"/>
        <v>Ne</v>
      </c>
      <c r="AB5">
        <f t="shared" si="3"/>
        <v>53100</v>
      </c>
    </row>
    <row r="6" spans="1:30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s="3" t="s">
        <v>26</v>
      </c>
      <c r="H6" s="3" t="s">
        <v>89</v>
      </c>
      <c r="I6">
        <f>F6*E6</f>
        <v>60000</v>
      </c>
      <c r="J6">
        <f>I6*VLOOKUP(D6,Product_Master!A:C,3,FALSE)/100</f>
        <v>7200</v>
      </c>
      <c r="K6">
        <f t="shared" si="0"/>
        <v>67200</v>
      </c>
      <c r="O6" t="str">
        <f>IF(E6&lt;=3,"low","High")</f>
        <v>High</v>
      </c>
      <c r="R6" t="str">
        <f>TEXT(G6,"MMMM")</f>
        <v>January</v>
      </c>
      <c r="S6" s="9">
        <v>106200</v>
      </c>
      <c r="T6" s="10" t="s">
        <v>14</v>
      </c>
      <c r="U6" s="12" t="s">
        <v>98</v>
      </c>
      <c r="V6" s="13">
        <v>414000</v>
      </c>
      <c r="W6" s="12" t="s">
        <v>23</v>
      </c>
      <c r="X6" s="13">
        <v>45000</v>
      </c>
      <c r="Y6" s="12" t="s">
        <v>17</v>
      </c>
      <c r="Z6" s="13">
        <v>30000</v>
      </c>
      <c r="AA6" t="str">
        <f t="shared" si="2"/>
        <v>Am</v>
      </c>
      <c r="AB6">
        <f t="shared" si="3"/>
        <v>67200</v>
      </c>
    </row>
    <row r="7" spans="1:30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s="3" t="s">
        <v>27</v>
      </c>
      <c r="H7" s="3" t="s">
        <v>88</v>
      </c>
      <c r="I7">
        <f>F7*E7</f>
        <v>90000</v>
      </c>
      <c r="J7">
        <f>I7*VLOOKUP(D7,Product_Master!A:C,3,FALSE)/100</f>
        <v>16200</v>
      </c>
      <c r="K7">
        <f t="shared" si="0"/>
        <v>106200</v>
      </c>
      <c r="O7" t="str">
        <f>IF(E7&lt;=3,"low","High")</f>
        <v>low</v>
      </c>
      <c r="R7" t="str">
        <f>TEXT(G7,"MMMM")</f>
        <v>January</v>
      </c>
      <c r="S7" s="9">
        <v>106200</v>
      </c>
      <c r="T7" s="10" t="s">
        <v>27</v>
      </c>
      <c r="W7" s="12" t="s">
        <v>98</v>
      </c>
      <c r="X7" s="13">
        <v>414000</v>
      </c>
      <c r="Y7" s="12" t="s">
        <v>21</v>
      </c>
      <c r="Z7" s="13">
        <v>18000</v>
      </c>
      <c r="AA7" t="str">
        <f t="shared" si="2"/>
        <v>Ri</v>
      </c>
      <c r="AB7">
        <f t="shared" si="3"/>
        <v>106200</v>
      </c>
    </row>
    <row r="8" spans="1:30" x14ac:dyDescent="0.25">
      <c r="H8" t="s">
        <v>79</v>
      </c>
      <c r="I8">
        <f>SUM(I$2:I$7)</f>
        <v>414000</v>
      </c>
      <c r="J8">
        <f t="shared" ref="J8:K8" si="4">SUM(J$2:J$7)</f>
        <v>63180</v>
      </c>
      <c r="K8">
        <f t="shared" si="4"/>
        <v>477180</v>
      </c>
      <c r="S8" s="3"/>
      <c r="Y8" s="12" t="s">
        <v>98</v>
      </c>
      <c r="Z8" s="13">
        <v>183000</v>
      </c>
    </row>
    <row r="11" spans="1:30" x14ac:dyDescent="0.25">
      <c r="R11" s="4"/>
    </row>
    <row r="12" spans="1:30" x14ac:dyDescent="0.25">
      <c r="F12">
        <v>11</v>
      </c>
      <c r="G12" t="s">
        <v>56</v>
      </c>
      <c r="R12" s="4"/>
    </row>
    <row r="13" spans="1:30" x14ac:dyDescent="0.25">
      <c r="F13">
        <v>25</v>
      </c>
      <c r="G13" t="s">
        <v>70</v>
      </c>
      <c r="R13" s="4"/>
    </row>
    <row r="17" spans="6:22" x14ac:dyDescent="0.25">
      <c r="V17" s="3"/>
    </row>
    <row r="18" spans="6:22" x14ac:dyDescent="0.25">
      <c r="V18" s="3"/>
    </row>
    <row r="19" spans="6:22" x14ac:dyDescent="0.25">
      <c r="V19" s="3"/>
    </row>
    <row r="20" spans="6:22" x14ac:dyDescent="0.25">
      <c r="V20" s="3"/>
    </row>
    <row r="21" spans="6:22" x14ac:dyDescent="0.25">
      <c r="F21">
        <v>26</v>
      </c>
      <c r="G21" t="s">
        <v>71</v>
      </c>
      <c r="V21" s="3"/>
    </row>
    <row r="22" spans="6:22" x14ac:dyDescent="0.25">
      <c r="F22">
        <v>27</v>
      </c>
      <c r="G22" t="s">
        <v>72</v>
      </c>
      <c r="V22" s="3"/>
    </row>
    <row r="23" spans="6:22" x14ac:dyDescent="0.25">
      <c r="F23">
        <v>28</v>
      </c>
      <c r="G23" t="s">
        <v>73</v>
      </c>
    </row>
    <row r="24" spans="6:22" x14ac:dyDescent="0.25">
      <c r="F24">
        <v>29</v>
      </c>
      <c r="G24" t="s">
        <v>74</v>
      </c>
    </row>
    <row r="25" spans="6:22" x14ac:dyDescent="0.25">
      <c r="F25">
        <v>30</v>
      </c>
      <c r="G25" t="s">
        <v>75</v>
      </c>
    </row>
  </sheetData>
  <sortState xmlns:xlrd2="http://schemas.microsoft.com/office/spreadsheetml/2017/richdata2" ref="S2:T7">
    <sortCondition ref="S2:S7"/>
  </sortState>
  <mergeCells count="6">
    <mergeCell ref="Y1:Z1"/>
    <mergeCell ref="M1:N1"/>
    <mergeCell ref="P1:Q1"/>
    <mergeCell ref="S1:T1"/>
    <mergeCell ref="U1:V1"/>
    <mergeCell ref="W1:X1"/>
  </mergeCells>
  <phoneticPr fontId="1" type="noConversion"/>
  <conditionalFormatting sqref="AB2:AB7">
    <cfRule type="cellIs" dxfId="0" priority="1" operator="greaterThan">
      <formula>60000</formula>
    </cfRule>
  </conditionalFormatting>
  <pageMargins left="0.75" right="0.75" top="1" bottom="1" header="0.5" footer="0.5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2" sqref="D2"/>
    </sheetView>
  </sheetViews>
  <sheetFormatPr defaultRowHeight="15" x14ac:dyDescent="0.25"/>
  <cols>
    <col min="1" max="1" width="7.85546875" bestFit="1" customWidth="1"/>
    <col min="2" max="2" width="10.5703125" bestFit="1" customWidth="1"/>
    <col min="3" max="3" width="6.85546875" bestFit="1" customWidth="1"/>
    <col min="4" max="4" width="16.85546875" bestFit="1" customWidth="1"/>
  </cols>
  <sheetData>
    <row r="1" spans="1:4" x14ac:dyDescent="0.25">
      <c r="A1" t="s">
        <v>7</v>
      </c>
      <c r="B1" t="s">
        <v>28</v>
      </c>
      <c r="C1" t="s">
        <v>29</v>
      </c>
      <c r="D1" t="s">
        <v>90</v>
      </c>
    </row>
    <row r="2" spans="1:4" x14ac:dyDescent="0.25">
      <c r="A2" t="s">
        <v>13</v>
      </c>
      <c r="B2" t="s">
        <v>30</v>
      </c>
      <c r="C2">
        <v>18</v>
      </c>
      <c r="D2" s="3" t="s">
        <v>88</v>
      </c>
    </row>
    <row r="3" spans="1:4" x14ac:dyDescent="0.25">
      <c r="A3" t="s">
        <v>17</v>
      </c>
      <c r="B3" t="s">
        <v>30</v>
      </c>
      <c r="C3">
        <v>12</v>
      </c>
      <c r="D3" s="3" t="s">
        <v>89</v>
      </c>
    </row>
    <row r="4" spans="1:4" x14ac:dyDescent="0.25">
      <c r="A4" t="s">
        <v>21</v>
      </c>
      <c r="B4" t="s">
        <v>30</v>
      </c>
      <c r="C4">
        <v>12</v>
      </c>
      <c r="D4" s="3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workbookViewId="0">
      <selection activeCell="H21" sqref="H21"/>
    </sheetView>
  </sheetViews>
  <sheetFormatPr defaultRowHeight="15" x14ac:dyDescent="0.25"/>
  <cols>
    <col min="1" max="1" width="10.85546875" bestFit="1" customWidth="1"/>
    <col min="2" max="3" width="6.42578125" bestFit="1" customWidth="1"/>
    <col min="4" max="4" width="8.85546875" bestFit="1" customWidth="1"/>
    <col min="5" max="5" width="5.5703125" bestFit="1" customWidth="1"/>
    <col min="6" max="6" width="14" bestFit="1" customWidth="1"/>
    <col min="7" max="7" width="10.5703125" bestFit="1" customWidth="1"/>
    <col min="9" max="9" width="11.5703125" bestFit="1" customWidth="1"/>
  </cols>
  <sheetData>
    <row r="1" spans="1:20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H1" t="s">
        <v>91</v>
      </c>
      <c r="I1" t="s">
        <v>92</v>
      </c>
      <c r="J1" t="s">
        <v>93</v>
      </c>
      <c r="K1" t="s">
        <v>94</v>
      </c>
      <c r="L1" t="s">
        <v>104</v>
      </c>
      <c r="Q1" t="s">
        <v>105</v>
      </c>
      <c r="R1" t="s">
        <v>106</v>
      </c>
      <c r="S1" t="s">
        <v>107</v>
      </c>
      <c r="T1" t="s">
        <v>108</v>
      </c>
    </row>
    <row r="2" spans="1:20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H2" s="6">
        <f>AVERAGE(C2:E2)</f>
        <v>81.666666666666671</v>
      </c>
      <c r="I2" t="str">
        <f>IF(H2&gt;$H$7, "Topper", "Avg student")</f>
        <v>Topper</v>
      </c>
      <c r="J2" s="5">
        <f>COUNTIF(F2:F6,"&gt;90")</f>
        <v>3</v>
      </c>
      <c r="K2" t="str">
        <f>IF(F2&gt;=85,"Eligible","NE")</f>
        <v>Eligible</v>
      </c>
      <c r="Q2">
        <f>MEDIAN(D2:D6)</f>
        <v>82</v>
      </c>
      <c r="S2" t="str">
        <f>_xlfn.CONCAT(A2,B2)</f>
        <v>1Rahul</v>
      </c>
    </row>
    <row r="3" spans="1:20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H3" s="6">
        <f t="shared" ref="H3:H6" si="0">AVERAGE(C3:E3)</f>
        <v>89.666666666666671</v>
      </c>
      <c r="I3" t="str">
        <f t="shared" ref="I3:I6" si="1">IF(H3&gt;$H$7, "Topper", "Avg student")</f>
        <v>Topper</v>
      </c>
      <c r="J3" s="5"/>
      <c r="K3" t="str">
        <f t="shared" ref="K3:K6" si="2">IF(F3&gt;=85,"Eligible","NE")</f>
        <v>Eligible</v>
      </c>
      <c r="S3" t="str">
        <f t="shared" ref="S3:S6" si="3">_xlfn.CONCAT(A3,B3)</f>
        <v>2Sneha</v>
      </c>
    </row>
    <row r="4" spans="1:20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H4" s="6">
        <f t="shared" si="0"/>
        <v>69</v>
      </c>
      <c r="I4" t="str">
        <f t="shared" si="1"/>
        <v>Avg student</v>
      </c>
      <c r="K4" t="str">
        <f t="shared" si="2"/>
        <v>Eligible</v>
      </c>
      <c r="S4" t="str">
        <f t="shared" si="3"/>
        <v>3Arjun</v>
      </c>
    </row>
    <row r="5" spans="1:20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H5" s="6">
        <f t="shared" si="0"/>
        <v>91.666666666666671</v>
      </c>
      <c r="I5" t="str">
        <f t="shared" si="1"/>
        <v>Topper</v>
      </c>
      <c r="K5" t="str">
        <f t="shared" si="2"/>
        <v>Eligible</v>
      </c>
      <c r="S5" t="str">
        <f t="shared" si="3"/>
        <v>4Pooja</v>
      </c>
    </row>
    <row r="6" spans="1:20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H6" s="6">
        <f t="shared" si="0"/>
        <v>57.666666666666664</v>
      </c>
      <c r="I6" t="str">
        <f t="shared" si="1"/>
        <v>Avg student</v>
      </c>
      <c r="K6" t="str">
        <f t="shared" si="2"/>
        <v>NE</v>
      </c>
      <c r="S6" t="str">
        <f t="shared" si="3"/>
        <v>5Vikas</v>
      </c>
    </row>
    <row r="7" spans="1:20" x14ac:dyDescent="0.25">
      <c r="G7" t="s">
        <v>96</v>
      </c>
      <c r="H7" s="6">
        <f>AVERAGE(H2:H6)</f>
        <v>77.933333333333337</v>
      </c>
    </row>
    <row r="21" spans="8:9" x14ac:dyDescent="0.25">
      <c r="H21">
        <v>21</v>
      </c>
      <c r="I21" t="s">
        <v>66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topLeftCell="A10" workbookViewId="0">
      <selection activeCell="B23" sqref="B23"/>
    </sheetView>
  </sheetViews>
  <sheetFormatPr defaultRowHeight="15" x14ac:dyDescent="0.25"/>
  <cols>
    <col min="1" max="1" width="5.85546875" bestFit="1" customWidth="1"/>
    <col min="2" max="2" width="58.85546875" bestFit="1" customWidth="1"/>
    <col min="4" max="4" width="6.28515625" bestFit="1" customWidth="1"/>
  </cols>
  <sheetData>
    <row r="1" spans="1:4" x14ac:dyDescent="0.25">
      <c r="A1" t="s">
        <v>43</v>
      </c>
      <c r="B1" t="s">
        <v>44</v>
      </c>
      <c r="D1" t="s">
        <v>45</v>
      </c>
    </row>
    <row r="2" spans="1:4" x14ac:dyDescent="0.25">
      <c r="A2">
        <v>1</v>
      </c>
      <c r="B2" s="1" t="s">
        <v>46</v>
      </c>
      <c r="D2">
        <v>2</v>
      </c>
    </row>
    <row r="3" spans="1:4" x14ac:dyDescent="0.25">
      <c r="A3">
        <v>2</v>
      </c>
      <c r="B3" s="1" t="s">
        <v>47</v>
      </c>
      <c r="D3">
        <v>2</v>
      </c>
    </row>
    <row r="4" spans="1:4" x14ac:dyDescent="0.25">
      <c r="A4">
        <v>3</v>
      </c>
      <c r="B4" s="1" t="s">
        <v>48</v>
      </c>
      <c r="D4">
        <v>2</v>
      </c>
    </row>
    <row r="5" spans="1:4" x14ac:dyDescent="0.25">
      <c r="A5">
        <v>4</v>
      </c>
      <c r="B5" s="1" t="s">
        <v>49</v>
      </c>
      <c r="D5">
        <v>2</v>
      </c>
    </row>
    <row r="6" spans="1:4" x14ac:dyDescent="0.25">
      <c r="A6">
        <v>5</v>
      </c>
      <c r="B6" s="1" t="s">
        <v>50</v>
      </c>
      <c r="D6">
        <v>2</v>
      </c>
    </row>
    <row r="7" spans="1:4" x14ac:dyDescent="0.25">
      <c r="A7">
        <v>6</v>
      </c>
      <c r="B7" s="1" t="s">
        <v>51</v>
      </c>
      <c r="D7">
        <v>2</v>
      </c>
    </row>
    <row r="8" spans="1:4" x14ac:dyDescent="0.25">
      <c r="A8">
        <v>7</v>
      </c>
      <c r="B8" s="1" t="s">
        <v>52</v>
      </c>
      <c r="D8">
        <v>2</v>
      </c>
    </row>
    <row r="9" spans="1:4" x14ac:dyDescent="0.25">
      <c r="A9">
        <v>8</v>
      </c>
      <c r="B9" s="1" t="s">
        <v>53</v>
      </c>
      <c r="D9">
        <v>2</v>
      </c>
    </row>
    <row r="10" spans="1:4" x14ac:dyDescent="0.25">
      <c r="A10">
        <v>9</v>
      </c>
      <c r="B10" s="1" t="s">
        <v>54</v>
      </c>
      <c r="D10">
        <v>2</v>
      </c>
    </row>
    <row r="11" spans="1:4" x14ac:dyDescent="0.25">
      <c r="A11">
        <v>10</v>
      </c>
      <c r="B11" s="1" t="s">
        <v>55</v>
      </c>
      <c r="D11">
        <v>2</v>
      </c>
    </row>
    <row r="12" spans="1:4" x14ac:dyDescent="0.25">
      <c r="A12">
        <v>11</v>
      </c>
      <c r="B12" t="s">
        <v>56</v>
      </c>
      <c r="D12">
        <v>2</v>
      </c>
    </row>
    <row r="13" spans="1:4" x14ac:dyDescent="0.25">
      <c r="A13">
        <v>12</v>
      </c>
      <c r="B13" s="1" t="s">
        <v>57</v>
      </c>
      <c r="D13">
        <v>2</v>
      </c>
    </row>
    <row r="14" spans="1:4" x14ac:dyDescent="0.25">
      <c r="A14">
        <v>13</v>
      </c>
      <c r="B14" s="1" t="s">
        <v>58</v>
      </c>
      <c r="D14">
        <v>2</v>
      </c>
    </row>
    <row r="15" spans="1:4" x14ac:dyDescent="0.25">
      <c r="A15">
        <v>14</v>
      </c>
      <c r="B15" s="1" t="s">
        <v>59</v>
      </c>
      <c r="D15">
        <v>2</v>
      </c>
    </row>
    <row r="16" spans="1:4" x14ac:dyDescent="0.25">
      <c r="A16">
        <v>15</v>
      </c>
      <c r="B16" s="1" t="s">
        <v>60</v>
      </c>
      <c r="D16">
        <v>2</v>
      </c>
    </row>
    <row r="17" spans="1:4" x14ac:dyDescent="0.25">
      <c r="A17">
        <v>16</v>
      </c>
      <c r="B17" s="1" t="s">
        <v>61</v>
      </c>
      <c r="D17">
        <v>2</v>
      </c>
    </row>
    <row r="18" spans="1:4" x14ac:dyDescent="0.25">
      <c r="A18">
        <v>17</v>
      </c>
      <c r="B18" s="1" t="s">
        <v>62</v>
      </c>
      <c r="D18">
        <v>2</v>
      </c>
    </row>
    <row r="19" spans="1:4" x14ac:dyDescent="0.25">
      <c r="A19">
        <v>18</v>
      </c>
      <c r="B19" s="1" t="s">
        <v>63</v>
      </c>
      <c r="D19">
        <v>2</v>
      </c>
    </row>
    <row r="20" spans="1:4" x14ac:dyDescent="0.25">
      <c r="A20">
        <v>19</v>
      </c>
      <c r="B20" s="1" t="s">
        <v>64</v>
      </c>
      <c r="D20">
        <v>2</v>
      </c>
    </row>
    <row r="21" spans="1:4" x14ac:dyDescent="0.25">
      <c r="A21">
        <v>20</v>
      </c>
      <c r="B21" s="1" t="s">
        <v>65</v>
      </c>
      <c r="D21">
        <v>2</v>
      </c>
    </row>
    <row r="22" spans="1:4" x14ac:dyDescent="0.25">
      <c r="A22">
        <v>21</v>
      </c>
      <c r="B22" t="s">
        <v>66</v>
      </c>
      <c r="D22">
        <v>2</v>
      </c>
    </row>
    <row r="23" spans="1:4" x14ac:dyDescent="0.25">
      <c r="A23">
        <v>22</v>
      </c>
      <c r="B23" s="1" t="s">
        <v>67</v>
      </c>
      <c r="D23">
        <v>2</v>
      </c>
    </row>
    <row r="24" spans="1:4" x14ac:dyDescent="0.25">
      <c r="A24">
        <v>23</v>
      </c>
      <c r="B24" t="s">
        <v>68</v>
      </c>
      <c r="D24">
        <v>2</v>
      </c>
    </row>
    <row r="25" spans="1:4" x14ac:dyDescent="0.25">
      <c r="A25">
        <v>24</v>
      </c>
      <c r="B25" t="s">
        <v>69</v>
      </c>
      <c r="D25">
        <v>2</v>
      </c>
    </row>
    <row r="26" spans="1:4" x14ac:dyDescent="0.25">
      <c r="A26">
        <v>25</v>
      </c>
      <c r="B26" t="s">
        <v>70</v>
      </c>
      <c r="D26">
        <v>2</v>
      </c>
    </row>
    <row r="27" spans="1:4" x14ac:dyDescent="0.25">
      <c r="A27">
        <v>26</v>
      </c>
      <c r="B27" t="s">
        <v>71</v>
      </c>
      <c r="D27">
        <v>2</v>
      </c>
    </row>
    <row r="28" spans="1:4" x14ac:dyDescent="0.25">
      <c r="A28">
        <v>27</v>
      </c>
      <c r="B28" t="s">
        <v>72</v>
      </c>
      <c r="D28">
        <v>2</v>
      </c>
    </row>
    <row r="29" spans="1:4" x14ac:dyDescent="0.25">
      <c r="A29">
        <v>28</v>
      </c>
      <c r="B29" t="s">
        <v>73</v>
      </c>
      <c r="D29">
        <v>2</v>
      </c>
    </row>
    <row r="30" spans="1:4" x14ac:dyDescent="0.25">
      <c r="A30">
        <v>29</v>
      </c>
      <c r="B30" t="s">
        <v>74</v>
      </c>
      <c r="D30">
        <v>2</v>
      </c>
    </row>
    <row r="31" spans="1:4" x14ac:dyDescent="0.25">
      <c r="A31">
        <v>30</v>
      </c>
      <c r="B31" t="s">
        <v>75</v>
      </c>
      <c r="D31">
        <v>2</v>
      </c>
    </row>
    <row r="33" spans="4:4" x14ac:dyDescent="0.25">
      <c r="D33">
        <f>SUM(D2:D31)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Sales_Data</vt:lpstr>
      <vt:lpstr>Product_Master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ASDC37</cp:lastModifiedBy>
  <dcterms:created xsi:type="dcterms:W3CDTF">2025-12-20T09:26:06Z</dcterms:created>
  <dcterms:modified xsi:type="dcterms:W3CDTF">2026-05-24T05:45:01Z</dcterms:modified>
</cp:coreProperties>
</file>