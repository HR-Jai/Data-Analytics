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43\OneDrive\Desktop\HR-Jai\Data-Analytics\"/>
    </mc:Choice>
  </mc:AlternateContent>
  <xr:revisionPtr revIDLastSave="0" documentId="13_ncr:1_{26F5B612-2BD8-4149-9DE5-2B7557956410}" xr6:coauthVersionLast="47" xr6:coauthVersionMax="47" xr10:uidLastSave="{00000000-0000-0000-0000-000000000000}"/>
  <bookViews>
    <workbookView xWindow="-120" yWindow="-120" windowWidth="29040" windowHeight="15720" xr2:uid="{13158238-B688-4CBB-9E48-711E31DBDB2C}"/>
  </bookViews>
  <sheets>
    <sheet name="Vlookup" sheetId="1" r:id="rId1"/>
    <sheet name="Hlookup" sheetId="2" r:id="rId2"/>
    <sheet name="Xlookup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2" i="1" l="1"/>
  <c r="H12" i="1"/>
  <c r="I12" i="1"/>
  <c r="G12" i="1"/>
  <c r="H11" i="1"/>
  <c r="I11" i="1"/>
  <c r="J11" i="1"/>
  <c r="G11" i="1"/>
  <c r="C17" i="2"/>
  <c r="C16" i="2"/>
  <c r="C12" i="1"/>
  <c r="C13" i="1"/>
  <c r="C14" i="2"/>
  <c r="C15" i="2"/>
  <c r="C17" i="1"/>
  <c r="C16" i="1"/>
  <c r="C15" i="1"/>
  <c r="C14" i="1"/>
  <c r="D13" i="1"/>
</calcChain>
</file>

<file path=xl/sharedStrings.xml><?xml version="1.0" encoding="utf-8"?>
<sst xmlns="http://schemas.openxmlformats.org/spreadsheetml/2006/main" count="162" uniqueCount="66">
  <si>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</si>
  <si>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</si>
  <si>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</si>
  <si>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</si>
  <si>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</si>
  <si>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</si>
  <si>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</si>
  <si>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</si>
  <si>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</si>
  <si>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</si>
  <si>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</si>
  <si>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</si>
  <si>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</si>
  <si>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</si>
  <si>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</si>
  <si>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</si>
  <si>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</si>
  <si>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</si>
  <si>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</si>
  <si>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</si>
  <si>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</si>
  <si>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</si>
  <si>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</si>
  <si>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</si>
  <si>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</si>
  <si>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</si>
  <si>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</si>
  <si>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</si>
  <si>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</si>
  <si>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</si>
  <si>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</si>
  <si>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</si>
  <si>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</si>
  <si>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Bonus %</t>
  </si>
  <si>
    <r>
      <t>1. Find the </t>
    </r>
    <r>
      <rPr>
        <sz val="12"/>
        <color rgb="FF1F2328"/>
        <rFont val="Segoe UI"/>
        <family val="2"/>
      </rPr>
      <t>Name</t>
    </r>
    <r>
      <rPr>
        <sz val="12"/>
        <color rgb="FF1F2328"/>
        <rFont val="Segoe UI"/>
        <family val="2"/>
      </rPr>
      <t> of employee using </t>
    </r>
    <r>
      <rPr>
        <sz val="10"/>
        <color rgb="FF1F2328"/>
        <rFont val="Consolas"/>
        <family val="3"/>
      </rPr>
      <t>EmployeeID</t>
    </r>
    <r>
      <rPr>
        <sz val="12"/>
        <color rgb="FF1F2328"/>
        <rFont val="Segoe UI"/>
        <family val="2"/>
      </rPr>
      <t> from </t>
    </r>
    <r>
      <rPr>
        <sz val="10"/>
        <color rgb="FF1F2328"/>
        <rFont val="Consolas"/>
        <family val="3"/>
      </rPr>
      <t>Search_Input</t>
    </r>
    <r>
      <rPr>
        <sz val="12"/>
        <color rgb="FF1F2328"/>
        <rFont val="Segoe UI"/>
        <family val="2"/>
      </rPr>
      <t>.</t>
    </r>
  </si>
  <si>
    <r>
      <t>2. Find the </t>
    </r>
    <r>
      <rPr>
        <sz val="12"/>
        <color rgb="FF1F2328"/>
        <rFont val="Segoe UI"/>
        <family val="2"/>
      </rPr>
      <t>Department</t>
    </r>
    <r>
      <rPr>
        <sz val="12"/>
        <color rgb="FF1F2328"/>
        <rFont val="Segoe UI"/>
        <family val="2"/>
      </rPr>
      <t> of employee with ID </t>
    </r>
    <r>
      <rPr>
        <sz val="12"/>
        <color rgb="FF1F2328"/>
        <rFont val="Segoe UI"/>
        <family val="2"/>
      </rPr>
      <t>E103</t>
    </r>
    <r>
      <rPr>
        <sz val="12"/>
        <color rgb="FF1F2328"/>
        <rFont val="Segoe UI"/>
        <family val="2"/>
      </rPr>
      <t>.</t>
    </r>
  </si>
  <si>
    <r>
      <t>3. Find the </t>
    </r>
    <r>
      <rPr>
        <sz val="12"/>
        <color rgb="FF1F2328"/>
        <rFont val="Segoe UI"/>
        <family val="2"/>
      </rPr>
      <t>Salary</t>
    </r>
    <r>
      <rPr>
        <sz val="12"/>
        <color rgb="FF1F2328"/>
        <rFont val="Segoe UI"/>
        <family val="2"/>
      </rPr>
      <t> of employee </t>
    </r>
    <r>
      <rPr>
        <sz val="12"/>
        <color rgb="FF1F2328"/>
        <rFont val="Segoe UI"/>
        <family val="2"/>
      </rPr>
      <t>Neha Singh</t>
    </r>
    <r>
      <rPr>
        <sz val="12"/>
        <color rgb="FF1F2328"/>
        <rFont val="Segoe UI"/>
        <family val="2"/>
      </rPr>
      <t> using VLOOKUP.</t>
    </r>
  </si>
  <si>
    <r>
      <t>4. Get the </t>
    </r>
    <r>
      <rPr>
        <sz val="12"/>
        <color rgb="FF1F2328"/>
        <rFont val="Segoe UI"/>
        <family val="2"/>
      </rPr>
      <t>Location</t>
    </r>
    <r>
      <rPr>
        <sz val="12"/>
        <color rgb="FF1F2328"/>
        <rFont val="Segoe UI"/>
        <family val="2"/>
      </rPr>
      <t> of employee </t>
    </r>
    <r>
      <rPr>
        <sz val="12"/>
        <color rgb="FF1F2328"/>
        <rFont val="Segoe UI"/>
        <family val="2"/>
      </rPr>
      <t>E107</t>
    </r>
    <r>
      <rPr>
        <sz val="12"/>
        <color rgb="FF1F2328"/>
        <rFont val="Segoe UI"/>
        <family val="2"/>
      </rPr>
      <t>.</t>
    </r>
  </si>
  <si>
    <r>
      <t>5. If </t>
    </r>
    <r>
      <rPr>
        <sz val="10"/>
        <color rgb="FF1F2328"/>
        <rFont val="Consolas"/>
        <family val="3"/>
      </rPr>
      <t>EmployeeID</t>
    </r>
    <r>
      <rPr>
        <sz val="12"/>
        <color rgb="FF1F2328"/>
        <rFont val="Segoe UI"/>
        <family val="2"/>
      </rPr>
      <t> is not found, display </t>
    </r>
    <r>
      <rPr>
        <sz val="12"/>
        <color rgb="FF1F2328"/>
        <rFont val="Segoe UI"/>
        <family val="2"/>
      </rPr>
      <t>"Not Found"</t>
    </r>
    <r>
      <rPr>
        <sz val="12"/>
        <color rgb="FF1F2328"/>
        <rFont val="Segoe UI"/>
        <family val="2"/>
      </rPr>
      <t>.</t>
    </r>
  </si>
  <si>
    <r>
      <t>6. Find the </t>
    </r>
    <r>
      <rPr>
        <sz val="12"/>
        <color rgb="FF1F2328"/>
        <rFont val="Segoe UI"/>
        <family val="2"/>
      </rPr>
      <t>JoiningYear</t>
    </r>
    <r>
      <rPr>
        <sz val="12"/>
        <color rgb="FF1F2328"/>
        <rFont val="Segoe UI"/>
        <family val="2"/>
      </rPr>
      <t> of employee </t>
    </r>
    <r>
      <rPr>
        <sz val="12"/>
        <color rgb="FF1F2328"/>
        <rFont val="Segoe UI"/>
        <family val="2"/>
      </rPr>
      <t>E101</t>
    </r>
    <r>
      <rPr>
        <sz val="12"/>
        <color rgb="FF1F2328"/>
        <rFont val="Segoe UI"/>
        <family val="2"/>
      </rPr>
      <t>.</t>
    </r>
  </si>
  <si>
    <r>
      <t>7. Find the </t>
    </r>
    <r>
      <rPr>
        <sz val="12"/>
        <color rgb="FF1F2328"/>
        <rFont val="Segoe UI"/>
        <family val="2"/>
      </rPr>
      <t>Bonus %</t>
    </r>
    <r>
      <rPr>
        <sz val="12"/>
        <color rgb="FF1F2328"/>
        <rFont val="Segoe UI"/>
        <family val="2"/>
      </rPr>
      <t> for </t>
    </r>
    <r>
      <rPr>
        <sz val="12"/>
        <color rgb="FF1F2328"/>
        <rFont val="Segoe UI"/>
        <family val="2"/>
      </rPr>
      <t>IT</t>
    </r>
    <r>
      <rPr>
        <sz val="12"/>
        <color rgb="FF1F2328"/>
        <rFont val="Segoe UI"/>
        <family val="2"/>
      </rPr>
      <t> department.</t>
    </r>
  </si>
  <si>
    <r>
      <t>8. Find the </t>
    </r>
    <r>
      <rPr>
        <sz val="12"/>
        <color rgb="FF1F2328"/>
        <rFont val="Segoe UI"/>
        <family val="2"/>
      </rPr>
      <t>Bonus %</t>
    </r>
    <r>
      <rPr>
        <sz val="12"/>
        <color rgb="FF1F2328"/>
        <rFont val="Segoe UI"/>
        <family val="2"/>
      </rPr>
      <t> for </t>
    </r>
    <r>
      <rPr>
        <sz val="12"/>
        <color rgb="FF1F2328"/>
        <rFont val="Segoe UI"/>
        <family val="2"/>
      </rPr>
      <t>Finance</t>
    </r>
    <r>
      <rPr>
        <sz val="12"/>
        <color rgb="FF1F2328"/>
        <rFont val="Segoe UI"/>
        <family val="2"/>
      </rPr>
      <t> department.</t>
    </r>
  </si>
  <si>
    <r>
      <t>9. Calculate </t>
    </r>
    <r>
      <rPr>
        <sz val="12"/>
        <color rgb="FF1F2328"/>
        <rFont val="Segoe UI"/>
        <family val="2"/>
      </rPr>
      <t>Bonus Amount</t>
    </r>
    <r>
      <rPr>
        <sz val="12"/>
        <color rgb="FF1F2328"/>
        <rFont val="Segoe UI"/>
        <family val="2"/>
      </rPr>
      <t> for employee </t>
    </r>
    <r>
      <rPr>
        <sz val="12"/>
        <color rgb="FF1F2328"/>
        <rFont val="Segoe UI"/>
        <family val="2"/>
      </rPr>
      <t>E104</t>
    </r>
  </si>
  <si>
    <t>(Bonus Amount = Salary × Bonus %).</t>
  </si>
  <si>
    <r>
      <t>10. If department is invalid, display </t>
    </r>
    <r>
      <rPr>
        <sz val="12"/>
        <color rgb="FF1F2328"/>
        <rFont val="Segoe UI"/>
        <family val="2"/>
      </rPr>
      <t>"No Bonus Data"</t>
    </r>
    <r>
      <rPr>
        <sz val="12"/>
        <color rgb="FF1F2328"/>
        <rFont val="Segoe UI"/>
        <family val="2"/>
      </rPr>
      <t>.</t>
    </r>
  </si>
  <si>
    <r>
      <t>11. Find </t>
    </r>
    <r>
      <rPr>
        <sz val="12"/>
        <color rgb="FF1F2328"/>
        <rFont val="Segoe UI"/>
        <family val="2"/>
      </rPr>
      <t>Salary</t>
    </r>
    <r>
      <rPr>
        <sz val="12"/>
        <color rgb="FF1F2328"/>
        <rFont val="Segoe UI"/>
        <family val="2"/>
      </rPr>
      <t> using </t>
    </r>
    <r>
      <rPr>
        <sz val="10"/>
        <color rgb="FF1F2328"/>
        <rFont val="Consolas"/>
        <family val="3"/>
      </rPr>
      <t>EmployeeID</t>
    </r>
    <r>
      <rPr>
        <sz val="12"/>
        <color rgb="FF1F2328"/>
        <rFont val="Segoe UI"/>
        <family val="2"/>
      </rPr>
      <t>.</t>
    </r>
  </si>
  <si>
    <r>
      <t>12. Find </t>
    </r>
    <r>
      <rPr>
        <sz val="12"/>
        <color rgb="FF1F2328"/>
        <rFont val="Segoe UI"/>
        <family val="2"/>
      </rPr>
      <t>Department</t>
    </r>
    <r>
      <rPr>
        <sz val="12"/>
        <color rgb="FF1F2328"/>
        <rFont val="Segoe UI"/>
        <family val="2"/>
      </rPr>
      <t> using </t>
    </r>
    <r>
      <rPr>
        <sz val="12"/>
        <color rgb="FF1F2328"/>
        <rFont val="Segoe UI"/>
        <family val="2"/>
      </rPr>
      <t>Employee Name</t>
    </r>
    <r>
      <rPr>
        <sz val="12"/>
        <color rgb="FF1F2328"/>
        <rFont val="Segoe UI"/>
        <family val="2"/>
      </rPr>
      <t>.</t>
    </r>
  </si>
  <si>
    <r>
      <t>13. Fetch </t>
    </r>
    <r>
      <rPr>
        <sz val="12"/>
        <color rgb="FF1F2328"/>
        <rFont val="Segoe UI"/>
        <family val="2"/>
      </rPr>
      <t>Location</t>
    </r>
    <r>
      <rPr>
        <sz val="12"/>
        <color rgb="FF1F2328"/>
        <rFont val="Segoe UI"/>
        <family val="2"/>
      </rPr>
      <t> of employee </t>
    </r>
    <r>
      <rPr>
        <sz val="12"/>
        <color rgb="FF1F2328"/>
        <rFont val="Segoe UI"/>
        <family val="2"/>
      </rPr>
      <t>Rohit Verma</t>
    </r>
    <r>
      <rPr>
        <sz val="12"/>
        <color rgb="FF1F2328"/>
        <rFont val="Segoe UI"/>
        <family val="2"/>
      </rPr>
      <t>.</t>
    </r>
  </si>
  <si>
    <r>
      <t>14. If </t>
    </r>
    <r>
      <rPr>
        <sz val="10"/>
        <color rgb="FF1F2328"/>
        <rFont val="Consolas"/>
        <family val="3"/>
      </rPr>
      <t>EmployeeID = E999</t>
    </r>
    <r>
      <rPr>
        <sz val="12"/>
        <color rgb="FF1F2328"/>
        <rFont val="Segoe UI"/>
        <family val="2"/>
      </rPr>
      <t>, return </t>
    </r>
    <r>
      <rPr>
        <sz val="12"/>
        <color rgb="FF1F2328"/>
        <rFont val="Segoe UI"/>
        <family val="2"/>
      </rPr>
      <t>"Employee Not Found"</t>
    </r>
    <r>
      <rPr>
        <sz val="12"/>
        <color rgb="FF1F2328"/>
        <rFont val="Segoe UI"/>
        <family val="2"/>
      </rPr>
      <t>.</t>
    </r>
  </si>
  <si>
    <r>
      <t>15. Find </t>
    </r>
    <r>
      <rPr>
        <sz val="12"/>
        <color rgb="FF1F2328"/>
        <rFont val="Segoe UI"/>
        <family val="2"/>
      </rPr>
      <t>Bonus %</t>
    </r>
    <r>
      <rPr>
        <sz val="12"/>
        <color rgb="FF1F2328"/>
        <rFont val="Segoe UI"/>
        <family val="2"/>
      </rPr>
      <t> using XLOOKUP from </t>
    </r>
    <r>
      <rPr>
        <sz val="10"/>
        <color rgb="FF1F2328"/>
        <rFont val="Consolas"/>
        <family val="3"/>
      </rPr>
      <t>Department_Bonus</t>
    </r>
    <r>
      <rPr>
        <sz val="12"/>
        <color rgb="FF1F2328"/>
        <rFont val="Segoe UI"/>
        <family val="2"/>
      </rPr>
      <t> (horizontal looku</t>
    </r>
  </si>
  <si>
    <t>Ans3</t>
  </si>
  <si>
    <t>Ans4</t>
  </si>
  <si>
    <t>E109</t>
  </si>
  <si>
    <t>Ans5</t>
  </si>
  <si>
    <t>Ans6</t>
  </si>
  <si>
    <t>Ans 2</t>
  </si>
  <si>
    <t>Ans 1</t>
  </si>
  <si>
    <t>Ans7</t>
  </si>
  <si>
    <t>Ans8</t>
  </si>
  <si>
    <t>Ans9</t>
  </si>
  <si>
    <t>Ans10</t>
  </si>
  <si>
    <t>Ans11</t>
  </si>
  <si>
    <t>Ans12</t>
  </si>
  <si>
    <t>Ans13</t>
  </si>
  <si>
    <t>Ans14</t>
  </si>
  <si>
    <t>Ans15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</si>
</sst>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11"/>
      <color theme="1"/>
      <name val="Calibri"/>
      <family val="2"/>
      <scheme val="minor"/>
    </font>
    <font>
      <sz val="10"/>
      <color rgb="FF1F2328"/>
      <name val="Consolas"/>
      <family val="3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6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0" fillId="2" borderId="1" xfId="0" applyFill="1" applyBorder="1" applyAlignment="1">
      <alignment horizontal="left" vertical="center"/>
    </xf>
    <xf numFmtId="9" fontId="0" fillId="2" borderId="1" xfId="0" applyNumberFormat="1" applyFill="1" applyBorder="1" applyAlignment="1">
      <alignment horizontal="right" vertical="center"/>
    </xf>
    <xf numFmtId="0" fontId="2" fillId="0" borderId="0" xfId="0" applyFont="1" applyAlignment="1">
      <alignment horizontal="left" vertical="center" indent="1"/>
    </xf>
    <xf numFmtId="0" fontId="0" fillId="0" borderId="2" xfId="0" applyBorder="1"/>
    <xf numFmtId="0" fontId="2" fillId="3" borderId="2" xfId="0" applyFont="1" applyFill="1" applyBorder="1" applyAlignment="1">
      <alignment horizontal="right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2" borderId="2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5F10-2EB3-4F7C-A2CF-9FF062B4EBD7}">
  <dimension ref="A1:L17"/>
  <sheetViews>
    <sheetView tabSelected="1" workbookViewId="0">
      <selection activeCell="J12" sqref="J12"/>
    </sheetView>
  </sheetViews>
  <sheetFormatPr defaultRowHeight="15" x14ac:dyDescent="0.25"/>
  <cols>
    <col min="1" max="1" width="14.7109375" bestFit="1" customWidth="1"/>
    <col min="2" max="2" width="15.42578125" customWidth="1"/>
    <col min="3" max="3" width="14.7109375" bestFit="1" customWidth="1"/>
    <col min="4" max="4" width="12.140625" bestFit="1" customWidth="1"/>
    <col min="5" max="5" width="8.28515625" bestFit="1" customWidth="1"/>
    <col min="6" max="6" width="14.5703125" bestFit="1" customWidth="1"/>
    <col min="12" max="12" width="69.85546875" bestFit="1" customWidth="1"/>
  </cols>
  <sheetData>
    <row r="1" spans="1:12" ht="18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L1" s="11" t="s">
        <v>34</v>
      </c>
    </row>
    <row r="2" spans="1:12" ht="18" thickBot="1" x14ac:dyDescent="0.3">
      <c r="A2" s="3" t="s">
        <v>6</v>
      </c>
      <c r="B2" s="4" t="s">
        <v>7</v>
      </c>
      <c r="C2" s="4" t="s">
        <v>8</v>
      </c>
      <c r="D2" s="4" t="s">
        <v>9</v>
      </c>
      <c r="E2" s="3">
        <v>45000</v>
      </c>
      <c r="F2" s="3">
        <v>2019</v>
      </c>
      <c r="L2" s="11" t="s">
        <v>35</v>
      </c>
    </row>
    <row r="3" spans="1:12" ht="18" thickBot="1" x14ac:dyDescent="0.3">
      <c r="A3" s="5" t="s">
        <v>10</v>
      </c>
      <c r="B3" s="6" t="s">
        <v>11</v>
      </c>
      <c r="C3" s="6" t="s">
        <v>12</v>
      </c>
      <c r="D3" s="6" t="s">
        <v>13</v>
      </c>
      <c r="E3" s="5">
        <v>52000</v>
      </c>
      <c r="F3" s="5">
        <v>2018</v>
      </c>
      <c r="L3" s="11" t="s">
        <v>36</v>
      </c>
    </row>
    <row r="4" spans="1:12" ht="18" thickBot="1" x14ac:dyDescent="0.3">
      <c r="A4" s="3" t="s">
        <v>14</v>
      </c>
      <c r="B4" s="4" t="s">
        <v>15</v>
      </c>
      <c r="C4" s="4" t="s">
        <v>16</v>
      </c>
      <c r="D4" s="4" t="s">
        <v>17</v>
      </c>
      <c r="E4" s="3">
        <v>65000</v>
      </c>
      <c r="F4" s="3">
        <v>2020</v>
      </c>
      <c r="L4" s="11" t="s">
        <v>37</v>
      </c>
    </row>
    <row r="5" spans="1:12" ht="18" thickBot="1" x14ac:dyDescent="0.3">
      <c r="A5" s="5" t="s">
        <v>18</v>
      </c>
      <c r="B5" s="6" t="s">
        <v>19</v>
      </c>
      <c r="C5" s="6" t="s">
        <v>20</v>
      </c>
      <c r="D5" s="6" t="s">
        <v>21</v>
      </c>
      <c r="E5" s="5">
        <v>58000</v>
      </c>
      <c r="F5" s="5">
        <v>2017</v>
      </c>
      <c r="L5" s="11" t="s">
        <v>38</v>
      </c>
    </row>
    <row r="6" spans="1:12" ht="18" thickBot="1" x14ac:dyDescent="0.3">
      <c r="A6" s="3" t="s">
        <v>22</v>
      </c>
      <c r="B6" s="4" t="s">
        <v>23</v>
      </c>
      <c r="C6" s="4" t="s">
        <v>24</v>
      </c>
      <c r="D6" s="4" t="s">
        <v>9</v>
      </c>
      <c r="E6" s="3">
        <v>48000</v>
      </c>
      <c r="F6" s="3">
        <v>2021</v>
      </c>
      <c r="L6" s="11" t="s">
        <v>39</v>
      </c>
    </row>
    <row r="7" spans="1:12" ht="18" thickBot="1" x14ac:dyDescent="0.3">
      <c r="A7" s="5" t="s">
        <v>25</v>
      </c>
      <c r="B7" s="6" t="s">
        <v>26</v>
      </c>
      <c r="C7" s="6" t="s">
        <v>16</v>
      </c>
      <c r="D7" s="6" t="s">
        <v>27</v>
      </c>
      <c r="E7" s="5">
        <v>62000</v>
      </c>
      <c r="F7" s="5">
        <v>2019</v>
      </c>
    </row>
    <row r="8" spans="1:12" ht="18" thickBot="1" x14ac:dyDescent="0.3">
      <c r="A8" s="3" t="s">
        <v>28</v>
      </c>
      <c r="B8" s="4" t="s">
        <v>29</v>
      </c>
      <c r="C8" s="4" t="s">
        <v>8</v>
      </c>
      <c r="D8" s="4" t="s">
        <v>30</v>
      </c>
      <c r="E8" s="3">
        <v>47000</v>
      </c>
      <c r="F8" s="3">
        <v>2020</v>
      </c>
    </row>
    <row r="9" spans="1:12" ht="18" thickBot="1" x14ac:dyDescent="0.3">
      <c r="A9" s="5" t="s">
        <v>31</v>
      </c>
      <c r="B9" s="6" t="s">
        <v>32</v>
      </c>
      <c r="C9" s="6" t="s">
        <v>12</v>
      </c>
      <c r="D9" s="6" t="s">
        <v>17</v>
      </c>
      <c r="E9" s="5">
        <v>54000</v>
      </c>
      <c r="F9" s="5">
        <v>2016</v>
      </c>
    </row>
    <row r="11" spans="1:12" x14ac:dyDescent="0.25">
      <c r="G11">
        <f>COLUMN(A1)</f>
        <v>1</v>
      </c>
      <c r="H11">
        <f t="shared" ref="H11:J12" si="0">COLUMN(B1)</f>
        <v>2</v>
      </c>
      <c r="I11">
        <f t="shared" si="0"/>
        <v>3</v>
      </c>
      <c r="J11">
        <f t="shared" si="0"/>
        <v>4</v>
      </c>
    </row>
    <row r="12" spans="1:12" ht="17.25" x14ac:dyDescent="0.25">
      <c r="A12" s="14" t="s">
        <v>56</v>
      </c>
      <c r="B12" s="17" t="s">
        <v>14</v>
      </c>
      <c r="C12" s="15" t="str">
        <f>VLOOKUP(B12,A1:F9,2,0)</f>
        <v>Rohit Verma</v>
      </c>
      <c r="D12" s="12"/>
      <c r="G12">
        <f>COLUMNS($A$1:A1)</f>
        <v>1</v>
      </c>
      <c r="H12">
        <f>COLUMNS($A$1:B1)</f>
        <v>2</v>
      </c>
      <c r="I12">
        <f>COLUMNS($A$1:C1)</f>
        <v>3</v>
      </c>
      <c r="J12">
        <f t="shared" si="0"/>
        <v>4</v>
      </c>
    </row>
    <row r="13" spans="1:12" x14ac:dyDescent="0.25">
      <c r="A13" s="12" t="s">
        <v>55</v>
      </c>
      <c r="B13" s="16" t="s">
        <v>14</v>
      </c>
      <c r="C13" s="12" t="str">
        <f>VLOOKUP(B13,A1:F9,2,0)</f>
        <v>Rohit Verma</v>
      </c>
      <c r="D13" s="12" t="str">
        <f>VLOOKUP(B13,A1:F9,3,0)</f>
        <v>IT</v>
      </c>
    </row>
    <row r="14" spans="1:12" x14ac:dyDescent="0.25">
      <c r="A14" s="12" t="s">
        <v>50</v>
      </c>
      <c r="B14" s="12" t="s">
        <v>19</v>
      </c>
      <c r="C14" s="12">
        <f>VLOOKUP(B14,B1:F9,4,0)</f>
        <v>58000</v>
      </c>
      <c r="D14" s="12"/>
    </row>
    <row r="15" spans="1:12" x14ac:dyDescent="0.25">
      <c r="A15" s="12" t="s">
        <v>51</v>
      </c>
      <c r="B15" s="12" t="s">
        <v>28</v>
      </c>
      <c r="C15" s="12" t="str">
        <f>VLOOKUP(B15,A1:F9,4,0)</f>
        <v>Hyderabad</v>
      </c>
      <c r="D15" s="12"/>
    </row>
    <row r="16" spans="1:12" ht="17.25" x14ac:dyDescent="0.25">
      <c r="A16" s="12" t="s">
        <v>53</v>
      </c>
      <c r="B16" s="13" t="s">
        <v>52</v>
      </c>
      <c r="C16" s="12" t="str">
        <f>IFERROR(VLOOKUP(B16,A1:F9,4,0),"Not found")</f>
        <v>Not found</v>
      </c>
      <c r="D16" s="12"/>
    </row>
    <row r="17" spans="1:4" x14ac:dyDescent="0.25">
      <c r="A17" s="12" t="s">
        <v>54</v>
      </c>
      <c r="B17" s="12" t="s">
        <v>6</v>
      </c>
      <c r="C17" s="12">
        <f>VLOOKUP(B17,A1:F9,6,0)</f>
        <v>2019</v>
      </c>
      <c r="D17" s="12"/>
    </row>
  </sheetData>
  <dataValidations count="2">
    <dataValidation type="list" allowBlank="1" showInputMessage="1" showErrorMessage="1" sqref="B13 B15 B17" xr:uid="{0F3AA2AD-3E37-4576-884E-7D94626FA870}">
      <formula1>$A$2:$A$9</formula1>
    </dataValidation>
    <dataValidation type="list" allowBlank="1" showInputMessage="1" showErrorMessage="1" sqref="B14" xr:uid="{67CD1E47-9B38-40E4-831F-B5354C85233D}">
      <formula1>$B$2:$B$9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12B8-0749-4A6E-82EE-512E0CC06934}">
  <dimension ref="A1:W17"/>
  <sheetViews>
    <sheetView workbookViewId="0">
      <selection activeCell="D24" sqref="D24"/>
    </sheetView>
  </sheetViews>
  <sheetFormatPr defaultRowHeight="15" x14ac:dyDescent="0.25"/>
  <cols>
    <col min="1" max="1" width="14.7109375" bestFit="1" customWidth="1"/>
    <col min="2" max="2" width="15.42578125" bestFit="1" customWidth="1"/>
    <col min="3" max="3" width="14.7109375" bestFit="1" customWidth="1"/>
    <col min="4" max="4" width="12.140625" bestFit="1" customWidth="1"/>
    <col min="5" max="5" width="8.28515625" bestFit="1" customWidth="1"/>
    <col min="6" max="6" width="14.5703125" bestFit="1" customWidth="1"/>
    <col min="18" max="18" width="13.28515625" bestFit="1" customWidth="1"/>
    <col min="22" max="22" width="8.85546875" bestFit="1" customWidth="1"/>
    <col min="23" max="23" width="11.28515625" bestFit="1" customWidth="1"/>
  </cols>
  <sheetData>
    <row r="1" spans="1:23" ht="18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J1" s="11" t="s">
        <v>40</v>
      </c>
      <c r="R1" s="7" t="s">
        <v>2</v>
      </c>
      <c r="S1" s="8" t="s">
        <v>8</v>
      </c>
      <c r="T1" s="8" t="s">
        <v>12</v>
      </c>
      <c r="U1" s="8" t="s">
        <v>16</v>
      </c>
      <c r="V1" s="8" t="s">
        <v>20</v>
      </c>
      <c r="W1" s="8" t="s">
        <v>24</v>
      </c>
    </row>
    <row r="2" spans="1:23" ht="18" thickBot="1" x14ac:dyDescent="0.3">
      <c r="A2" s="3" t="s">
        <v>6</v>
      </c>
      <c r="B2" s="4" t="s">
        <v>7</v>
      </c>
      <c r="C2" s="4" t="s">
        <v>8</v>
      </c>
      <c r="D2" s="4" t="s">
        <v>9</v>
      </c>
      <c r="E2" s="3">
        <v>45000</v>
      </c>
      <c r="F2" s="3">
        <v>2019</v>
      </c>
      <c r="J2" s="11" t="s">
        <v>41</v>
      </c>
      <c r="R2" s="9" t="s">
        <v>33</v>
      </c>
      <c r="S2" s="10">
        <v>0.1</v>
      </c>
      <c r="T2" s="10">
        <v>0.08</v>
      </c>
      <c r="U2" s="10">
        <v>0.12</v>
      </c>
      <c r="V2" s="10">
        <v>0.15</v>
      </c>
      <c r="W2" s="10">
        <v>0.09</v>
      </c>
    </row>
    <row r="3" spans="1:23" ht="18" thickBot="1" x14ac:dyDescent="0.3">
      <c r="A3" s="5" t="s">
        <v>10</v>
      </c>
      <c r="B3" s="6" t="s">
        <v>11</v>
      </c>
      <c r="C3" s="6" t="s">
        <v>12</v>
      </c>
      <c r="D3" s="6" t="s">
        <v>13</v>
      </c>
      <c r="E3" s="5">
        <v>52000</v>
      </c>
      <c r="F3" s="5">
        <v>2018</v>
      </c>
      <c r="J3" s="11" t="s">
        <v>42</v>
      </c>
    </row>
    <row r="4" spans="1:23" ht="18" thickBot="1" x14ac:dyDescent="0.3">
      <c r="A4" s="3" t="s">
        <v>14</v>
      </c>
      <c r="B4" s="4" t="s">
        <v>15</v>
      </c>
      <c r="C4" s="4" t="s">
        <v>16</v>
      </c>
      <c r="D4" s="4" t="s">
        <v>17</v>
      </c>
      <c r="E4" s="3">
        <v>65000</v>
      </c>
      <c r="F4" s="3">
        <v>2020</v>
      </c>
      <c r="J4" s="11" t="s">
        <v>43</v>
      </c>
    </row>
    <row r="5" spans="1:23" ht="18" thickBot="1" x14ac:dyDescent="0.3">
      <c r="A5" s="5" t="s">
        <v>18</v>
      </c>
      <c r="B5" s="6" t="s">
        <v>19</v>
      </c>
      <c r="C5" s="6" t="s">
        <v>20</v>
      </c>
      <c r="D5" s="6" t="s">
        <v>21</v>
      </c>
      <c r="E5" s="5">
        <v>58000</v>
      </c>
      <c r="F5" s="5">
        <v>2017</v>
      </c>
      <c r="J5" s="11" t="s">
        <v>44</v>
      </c>
    </row>
    <row r="6" spans="1:23" ht="18" thickBot="1" x14ac:dyDescent="0.3">
      <c r="A6" s="3" t="s">
        <v>22</v>
      </c>
      <c r="B6" s="4" t="s">
        <v>23</v>
      </c>
      <c r="C6" s="4" t="s">
        <v>24</v>
      </c>
      <c r="D6" s="4" t="s">
        <v>9</v>
      </c>
      <c r="E6" s="3">
        <v>48000</v>
      </c>
      <c r="F6" s="3">
        <v>2021</v>
      </c>
    </row>
    <row r="7" spans="1:23" ht="18" thickBot="1" x14ac:dyDescent="0.3">
      <c r="A7" s="5" t="s">
        <v>25</v>
      </c>
      <c r="B7" s="6" t="s">
        <v>26</v>
      </c>
      <c r="C7" s="6" t="s">
        <v>16</v>
      </c>
      <c r="D7" s="6" t="s">
        <v>27</v>
      </c>
      <c r="E7" s="5">
        <v>62000</v>
      </c>
      <c r="F7" s="5">
        <v>2019</v>
      </c>
    </row>
    <row r="8" spans="1:23" ht="18" thickBot="1" x14ac:dyDescent="0.3">
      <c r="A8" s="3" t="s">
        <v>28</v>
      </c>
      <c r="B8" s="4" t="s">
        <v>29</v>
      </c>
      <c r="C8" s="4" t="s">
        <v>8</v>
      </c>
      <c r="D8" s="4" t="s">
        <v>30</v>
      </c>
      <c r="E8" s="3">
        <v>47000</v>
      </c>
      <c r="F8" s="3">
        <v>2020</v>
      </c>
    </row>
    <row r="9" spans="1:23" ht="18" thickBot="1" x14ac:dyDescent="0.3">
      <c r="A9" s="5" t="s">
        <v>31</v>
      </c>
      <c r="B9" s="6" t="s">
        <v>32</v>
      </c>
      <c r="C9" s="6" t="s">
        <v>12</v>
      </c>
      <c r="D9" s="6" t="s">
        <v>17</v>
      </c>
      <c r="E9" s="5">
        <v>54000</v>
      </c>
      <c r="F9" s="5">
        <v>2016</v>
      </c>
    </row>
    <row r="14" spans="1:23" x14ac:dyDescent="0.25">
      <c r="A14" s="12" t="s">
        <v>57</v>
      </c>
      <c r="B14" s="18" t="s">
        <v>16</v>
      </c>
      <c r="C14" s="12">
        <f>HLOOKUP(B14,R1:W2,2,0)</f>
        <v>0.12</v>
      </c>
      <c r="D14" s="12"/>
    </row>
    <row r="15" spans="1:23" x14ac:dyDescent="0.25">
      <c r="A15" s="12" t="s">
        <v>58</v>
      </c>
      <c r="B15" s="18" t="s">
        <v>20</v>
      </c>
      <c r="C15" s="12">
        <f>HLOOKUP(B15,R1:W2,2,0)</f>
        <v>0.15</v>
      </c>
      <c r="D15" s="12"/>
    </row>
    <row r="16" spans="1:23" ht="17.25" x14ac:dyDescent="0.25">
      <c r="A16" s="12" t="s">
        <v>59</v>
      </c>
      <c r="B16" s="13" t="s">
        <v>18</v>
      </c>
      <c r="C16" s="12">
        <f>VLOOKUP(B16,A1:F9,5,0)*HLOOKUP(D16,R1:W2,2,0)</f>
        <v>8700</v>
      </c>
      <c r="D16" s="19" t="s">
        <v>20</v>
      </c>
    </row>
    <row r="17" spans="1:4" x14ac:dyDescent="0.25">
      <c r="A17" s="12" t="s">
        <v>60</v>
      </c>
      <c r="B17" s="12"/>
      <c r="C17" s="12" t="str">
        <f>IFERROR(VLOOKUP(B17,A1:F9,5,0)*HLOOKUP(D17,R1:W2,2,0), "No Bonus Data")</f>
        <v>No Bonus Data</v>
      </c>
      <c r="D17" s="12"/>
    </row>
  </sheetData>
  <dataValidations count="3">
    <dataValidation type="list" allowBlank="1" showInputMessage="1" showErrorMessage="1" sqref="B15" xr:uid="{0FDF3418-3264-40D7-8F71-63818B7AA657}">
      <formula1>$R$1:$W$1</formula1>
    </dataValidation>
    <dataValidation type="list" allowBlank="1" showInputMessage="1" showErrorMessage="1" sqref="B16" xr:uid="{2709ADA0-563B-44B3-B92E-1C55EEA2DD0A}">
      <formula1>$A$2:$A$9</formula1>
    </dataValidation>
    <dataValidation type="list" allowBlank="1" showInputMessage="1" showErrorMessage="1" sqref="D16" xr:uid="{205111EE-8FA3-4BD2-B20C-F0DCCC910F0D}">
      <formula1>$C$2:$C$9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C672C-BC83-4B9A-A52E-46941DF95F44}">
  <dimension ref="A1:J17"/>
  <sheetViews>
    <sheetView workbookViewId="0">
      <selection activeCell="B19" sqref="B19"/>
    </sheetView>
  </sheetViews>
  <sheetFormatPr defaultRowHeight="15" x14ac:dyDescent="0.25"/>
  <cols>
    <col min="1" max="1" width="14.7109375" bestFit="1" customWidth="1"/>
    <col min="2" max="2" width="15.42578125" bestFit="1" customWidth="1"/>
    <col min="3" max="3" width="14.7109375" bestFit="1" customWidth="1"/>
    <col min="4" max="4" width="12.140625" bestFit="1" customWidth="1"/>
    <col min="5" max="5" width="8.28515625" bestFit="1" customWidth="1"/>
    <col min="6" max="6" width="14.5703125" bestFit="1" customWidth="1"/>
  </cols>
  <sheetData>
    <row r="1" spans="1:10" ht="18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J1" s="11" t="s">
        <v>45</v>
      </c>
    </row>
    <row r="2" spans="1:10" ht="18" thickBot="1" x14ac:dyDescent="0.3">
      <c r="A2" s="3" t="s">
        <v>6</v>
      </c>
      <c r="B2" s="4" t="s">
        <v>7</v>
      </c>
      <c r="C2" s="4" t="s">
        <v>8</v>
      </c>
      <c r="D2" s="4" t="s">
        <v>9</v>
      </c>
      <c r="E2" s="3">
        <v>45000</v>
      </c>
      <c r="F2" s="3">
        <v>2019</v>
      </c>
      <c r="J2" s="11" t="s">
        <v>46</v>
      </c>
    </row>
    <row r="3" spans="1:10" ht="18" thickBot="1" x14ac:dyDescent="0.3">
      <c r="A3" s="5" t="s">
        <v>10</v>
      </c>
      <c r="B3" s="6" t="s">
        <v>11</v>
      </c>
      <c r="C3" s="6" t="s">
        <v>12</v>
      </c>
      <c r="D3" s="6" t="s">
        <v>13</v>
      </c>
      <c r="E3" s="5">
        <v>52000</v>
      </c>
      <c r="F3" s="5">
        <v>2018</v>
      </c>
      <c r="J3" s="11" t="s">
        <v>47</v>
      </c>
    </row>
    <row r="4" spans="1:10" ht="18" thickBot="1" x14ac:dyDescent="0.3">
      <c r="A4" s="3" t="s">
        <v>14</v>
      </c>
      <c r="B4" s="4" t="s">
        <v>15</v>
      </c>
      <c r="C4" s="4" t="s">
        <v>16</v>
      </c>
      <c r="D4" s="4" t="s">
        <v>17</v>
      </c>
      <c r="E4" s="3">
        <v>65000</v>
      </c>
      <c r="F4" s="3">
        <v>2020</v>
      </c>
      <c r="J4" s="11" t="s">
        <v>48</v>
      </c>
    </row>
    <row r="5" spans="1:10" ht="18" thickBot="1" x14ac:dyDescent="0.3">
      <c r="A5" s="5" t="s">
        <v>18</v>
      </c>
      <c r="B5" s="6" t="s">
        <v>19</v>
      </c>
      <c r="C5" s="6" t="s">
        <v>20</v>
      </c>
      <c r="D5" s="6" t="s">
        <v>21</v>
      </c>
      <c r="E5" s="5">
        <v>58000</v>
      </c>
      <c r="F5" s="5">
        <v>2017</v>
      </c>
      <c r="J5" s="11" t="s">
        <v>49</v>
      </c>
    </row>
    <row r="6" spans="1:10" ht="18" thickBot="1" x14ac:dyDescent="0.3">
      <c r="A6" s="3" t="s">
        <v>22</v>
      </c>
      <c r="B6" s="4" t="s">
        <v>23</v>
      </c>
      <c r="C6" s="4" t="s">
        <v>24</v>
      </c>
      <c r="D6" s="4" t="s">
        <v>9</v>
      </c>
      <c r="E6" s="3">
        <v>48000</v>
      </c>
      <c r="F6" s="3">
        <v>2021</v>
      </c>
    </row>
    <row r="7" spans="1:10" ht="18" thickBot="1" x14ac:dyDescent="0.3">
      <c r="A7" s="5" t="s">
        <v>25</v>
      </c>
      <c r="B7" s="6" t="s">
        <v>26</v>
      </c>
      <c r="C7" s="6" t="s">
        <v>16</v>
      </c>
      <c r="D7" s="6" t="s">
        <v>27</v>
      </c>
      <c r="E7" s="5">
        <v>62000</v>
      </c>
      <c r="F7" s="5">
        <v>2019</v>
      </c>
    </row>
    <row r="8" spans="1:10" ht="18" thickBot="1" x14ac:dyDescent="0.3">
      <c r="A8" s="3" t="s">
        <v>28</v>
      </c>
      <c r="B8" s="4" t="s">
        <v>29</v>
      </c>
      <c r="C8" s="4" t="s">
        <v>8</v>
      </c>
      <c r="D8" s="4" t="s">
        <v>30</v>
      </c>
      <c r="E8" s="3">
        <v>47000</v>
      </c>
      <c r="F8" s="3">
        <v>2020</v>
      </c>
    </row>
    <row r="9" spans="1:10" ht="18" thickBot="1" x14ac:dyDescent="0.3">
      <c r="A9" s="5" t="s">
        <v>31</v>
      </c>
      <c r="B9" s="6" t="s">
        <v>32</v>
      </c>
      <c r="C9" s="6" t="s">
        <v>12</v>
      </c>
      <c r="D9" s="6" t="s">
        <v>17</v>
      </c>
      <c r="E9" s="5">
        <v>54000</v>
      </c>
      <c r="F9" s="5">
        <v>2016</v>
      </c>
    </row>
    <row r="13" spans="1:10" x14ac:dyDescent="0.25">
      <c r="A13" t="s">
        <v>61</v>
      </c>
    </row>
    <row r="14" spans="1:10" x14ac:dyDescent="0.25">
      <c r="A14" t="s">
        <v>62</v>
      </c>
    </row>
    <row r="15" spans="1:10" x14ac:dyDescent="0.25">
      <c r="A15" t="s">
        <v>63</v>
      </c>
    </row>
    <row r="16" spans="1:10" x14ac:dyDescent="0.25">
      <c r="A16" t="s">
        <v>64</v>
      </c>
    </row>
    <row r="17" spans="1:1" x14ac:dyDescent="0.25">
      <c r="A17" t="s">
        <v>65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</vt:lpstr>
      <vt:lpstr>Hlookup</vt:lpstr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ASDC43</dc:creator>
  <cp:lastModifiedBy>ASDC43</cp:lastModifiedBy>
  <dcterms:created xsi:type="dcterms:W3CDTF">2026-02-01T04:47:14Z</dcterms:created>
  <dcterms:modified xsi:type="dcterms:W3CDTF">2026-02-07T13:27:57Z</dcterms:modified>
</cp:coreProperties>
</file>