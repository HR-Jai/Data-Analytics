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506d0835fdee9f/Desktop/HR-Jai/Data-Analytics/"/>
    </mc:Choice>
  </mc:AlternateContent>
  <xr:revisionPtr revIDLastSave="0" documentId="8_{21B4D525-70F2-4E26-8601-F2CCEB353286}" xr6:coauthVersionLast="47" xr6:coauthVersionMax="47" xr10:uidLastSave="{00000000-0000-0000-0000-000000000000}"/>
  <bookViews>
    <workbookView xWindow="-120" yWindow="-120" windowWidth="29040" windowHeight="15720" activeTab="9" xr2:uid="{6AC2C0BD-437D-4292-9AAB-6C6777D5CDC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0" l="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" i="1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" i="9"/>
  <c r="C3" i="8"/>
  <c r="C4" i="8"/>
  <c r="C5" i="8"/>
  <c r="C6" i="8"/>
  <c r="C7" i="8"/>
  <c r="C8" i="8"/>
  <c r="C9" i="8"/>
  <c r="C10" i="8"/>
  <c r="C11" i="8"/>
  <c r="C12" i="8"/>
  <c r="C13" i="8"/>
  <c r="C14" i="8"/>
  <c r="C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" i="5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<sst xmlns="http://schemas.openxmlformats.org/spreadsheetml/2006/main" count="260" uniqueCount="77">
  <si>
    <t>Roll No</t>
  </si>
  <si>
    <t>Student Name</t>
  </si>
  <si>
    <t>Maths</t>
  </si>
  <si>
    <t>Aakash</t>
  </si>
  <si>
    <t>Bhavya</t>
  </si>
  <si>
    <t>Chirag</t>
  </si>
  <si>
    <t>Divya</t>
  </si>
  <si>
    <t>Esha</t>
  </si>
  <si>
    <t>Farhan</t>
  </si>
  <si>
    <t>Gauri</t>
  </si>
  <si>
    <t>Harsh</t>
  </si>
  <si>
    <t>Isha</t>
  </si>
  <si>
    <t>Jay</t>
  </si>
  <si>
    <t>Kavya</t>
  </si>
  <si>
    <t>Lalit</t>
  </si>
  <si>
    <t>Meera</t>
  </si>
  <si>
    <t>Nikhil</t>
  </si>
  <si>
    <t>Om</t>
  </si>
  <si>
    <t>Priya</t>
  </si>
  <si>
    <t>Rahul</t>
  </si>
  <si>
    <t>Sana</t>
  </si>
  <si>
    <t>Tanvi</t>
  </si>
  <si>
    <t>Vikas</t>
  </si>
  <si>
    <t>If Marks ≥ 40 → Pass
Else → Fail</t>
  </si>
  <si>
    <t>Result</t>
  </si>
  <si>
    <t>Employee Name</t>
  </si>
  <si>
    <t>Salary</t>
  </si>
  <si>
    <t>Bonus Status</t>
  </si>
  <si>
    <t>Rohit</t>
  </si>
  <si>
    <t>Simran</t>
  </si>
  <si>
    <t>Vijay</t>
  </si>
  <si>
    <t>Nisha</t>
  </si>
  <si>
    <t>Amit Sharma</t>
  </si>
  <si>
    <t>Neha Verma</t>
  </si>
  <si>
    <t>Rahul Mehta</t>
  </si>
  <si>
    <t>Pooja Singh</t>
  </si>
  <si>
    <t>Ankit Patel</t>
  </si>
  <si>
    <t>Salary ≥ 40000 → Bonus
Else → No Bonus</t>
  </si>
  <si>
    <t>≥ 75 → A
≥ 60 → B
≥ 40 → C
&lt; 40 → Fail</t>
  </si>
  <si>
    <t>Nasted IF</t>
  </si>
  <si>
    <t>Name</t>
  </si>
  <si>
    <t>Age</t>
  </si>
  <si>
    <t>Experience (Years)</t>
  </si>
  <si>
    <t>Eligible</t>
  </si>
  <si>
    <t>Age ≥ 21 AND Experience ≥ 1 → Eligible</t>
  </si>
  <si>
    <t>Attendance %</t>
  </si>
  <si>
    <t>Assignment Submitted</t>
  </si>
  <si>
    <t>Aman</t>
  </si>
  <si>
    <t>Yes</t>
  </si>
  <si>
    <t>Bharti</t>
  </si>
  <si>
    <t>Rohan</t>
  </si>
  <si>
    <t>No</t>
  </si>
  <si>
    <t>Deepa</t>
  </si>
  <si>
    <t>Attendance ≥ 75 AND Assignment = Yes</t>
  </si>
  <si>
    <t>Customer Name</t>
  </si>
  <si>
    <t>Purchase Amount</t>
  </si>
  <si>
    <t>Membership</t>
  </si>
  <si>
    <t>Discount</t>
  </si>
  <si>
    <t>Bhavna</t>
  </si>
  <si>
    <t>Purchase ≥ 10000 OR Membership = Yes</t>
  </si>
  <si>
    <t>Applicant</t>
  </si>
  <si>
    <t>CIBIL Score</t>
  </si>
  <si>
    <t>Loan Status</t>
  </si>
  <si>
    <t>Salary ≥ 40000 OR CIBIL ≥ 700</t>
  </si>
  <si>
    <t>Present</t>
  </si>
  <si>
    <t>Status</t>
  </si>
  <si>
    <t xml:space="preserve">If NOT Present → Absent
Else → Present
</t>
  </si>
  <si>
    <t>Number 1</t>
  </si>
  <si>
    <t>Number 2</t>
  </si>
  <si>
    <t>Divide Number 1 by Number 2
If error → show "Invalid"</t>
  </si>
  <si>
    <t>Targets Achieved</t>
  </si>
  <si>
    <t>Performance</t>
  </si>
  <si>
    <t>Raj</t>
  </si>
  <si>
    <t>Sunita</t>
  </si>
  <si>
    <t>Manoj</t>
  </si>
  <si>
    <t>Kavita</t>
  </si>
  <si>
    <t>Attendance ≥ 90 AND Targets ≥ 40 → Excellent
Attendance ≥ 80 → Good
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</si>
</sst>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24"/>
      <color theme="1"/>
      <name val="Calibri"/>
      <family val="2"/>
      <scheme val="minor"/>
    </font>
    <font>
      <sz val="12"/>
      <color rgb="FF1F2328"/>
      <name val="Segoe UI"/>
      <family val="2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4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top" wrapText="1"/>
    </xf>
    <xf numFmtId="0" fontId="0" fillId="0" borderId="3" xfId="0" applyBorder="1"/>
    <xf numFmtId="0" fontId="1" fillId="2" borderId="1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855F-A9D9-46CA-9A3C-4E674C0F1975}">
  <dimension ref="A1:O21"/>
  <sheetViews>
    <sheetView workbookViewId="0">
      <selection activeCell="B3" sqref="B3:C17"/>
    </sheetView>
  </sheetViews>
  <sheetFormatPr defaultRowHeight="15" x14ac:dyDescent="0.25"/>
  <cols>
    <col min="1" max="1" width="8.7109375" bestFit="1" customWidth="1"/>
    <col min="2" max="2" width="15.7109375" bestFit="1" customWidth="1"/>
    <col min="3" max="3" width="7.42578125" bestFit="1" customWidth="1"/>
  </cols>
  <sheetData>
    <row r="1" spans="1:15" ht="18" thickBot="1" x14ac:dyDescent="0.3">
      <c r="A1" s="1" t="s">
        <v>0</v>
      </c>
      <c r="B1" s="1" t="s">
        <v>1</v>
      </c>
      <c r="C1" s="1" t="s">
        <v>2</v>
      </c>
      <c r="D1" s="6" t="s">
        <v>24</v>
      </c>
    </row>
    <row r="2" spans="1:15" ht="18" thickBot="1" x14ac:dyDescent="0.3">
      <c r="A2" s="2">
        <v>1</v>
      </c>
      <c r="B2" s="2" t="s">
        <v>3</v>
      </c>
      <c r="C2" s="3">
        <v>78</v>
      </c>
      <c r="D2" t="str">
        <f>IF(C2&gt;=40, "PASS", "FAIL")</f>
        <v>PASS</v>
      </c>
    </row>
    <row r="3" spans="1:15" ht="18" thickBot="1" x14ac:dyDescent="0.3">
      <c r="A3" s="2">
        <v>2</v>
      </c>
      <c r="B3" s="2" t="s">
        <v>4</v>
      </c>
      <c r="C3" s="3">
        <v>65</v>
      </c>
      <c r="D3" t="str">
        <f t="shared" ref="D3:D21" si="0">IF(C3&gt;=40, "PASS", "FAIL")</f>
        <v>PASS</v>
      </c>
    </row>
    <row r="4" spans="1:15" ht="18" thickBot="1" x14ac:dyDescent="0.3">
      <c r="A4" s="2">
        <v>3</v>
      </c>
      <c r="B4" s="2" t="s">
        <v>5</v>
      </c>
      <c r="C4" s="3">
        <v>90</v>
      </c>
      <c r="D4" t="str">
        <f t="shared" si="0"/>
        <v>PASS</v>
      </c>
    </row>
    <row r="5" spans="1:15" ht="18" thickBot="1" x14ac:dyDescent="0.3">
      <c r="A5" s="2">
        <v>4</v>
      </c>
      <c r="B5" s="2" t="s">
        <v>6</v>
      </c>
      <c r="C5" s="3">
        <v>35</v>
      </c>
      <c r="D5" t="str">
        <f t="shared" si="0"/>
        <v>FAIL</v>
      </c>
    </row>
    <row r="6" spans="1:15" ht="18" thickBot="1" x14ac:dyDescent="0.3">
      <c r="A6" s="2">
        <v>5</v>
      </c>
      <c r="B6" s="2" t="s">
        <v>7</v>
      </c>
      <c r="C6" s="3">
        <v>55</v>
      </c>
      <c r="D6" t="str">
        <f t="shared" si="0"/>
        <v>PASS</v>
      </c>
    </row>
    <row r="7" spans="1:15" ht="18" thickBot="1" x14ac:dyDescent="0.3">
      <c r="A7" s="2">
        <v>6</v>
      </c>
      <c r="B7" s="2" t="s">
        <v>8</v>
      </c>
      <c r="C7" s="3">
        <v>72</v>
      </c>
      <c r="D7" t="str">
        <f t="shared" si="0"/>
        <v>PASS</v>
      </c>
      <c r="L7" s="4" t="s">
        <v>23</v>
      </c>
      <c r="M7" s="5"/>
      <c r="N7" s="5"/>
      <c r="O7" s="5"/>
    </row>
    <row r="8" spans="1:15" ht="18" thickBot="1" x14ac:dyDescent="0.3">
      <c r="A8" s="2">
        <v>7</v>
      </c>
      <c r="B8" s="2" t="s">
        <v>9</v>
      </c>
      <c r="C8" s="3">
        <v>38</v>
      </c>
      <c r="D8" t="str">
        <f t="shared" si="0"/>
        <v>FAIL</v>
      </c>
      <c r="L8" s="5"/>
      <c r="M8" s="5"/>
      <c r="N8" s="5"/>
      <c r="O8" s="5"/>
    </row>
    <row r="9" spans="1:15" ht="18" thickBot="1" x14ac:dyDescent="0.3">
      <c r="A9" s="2">
        <v>8</v>
      </c>
      <c r="B9" s="2" t="s">
        <v>10</v>
      </c>
      <c r="C9" s="3">
        <v>58</v>
      </c>
      <c r="D9" t="str">
        <f t="shared" si="0"/>
        <v>PASS</v>
      </c>
      <c r="L9" s="5"/>
      <c r="M9" s="5"/>
      <c r="N9" s="5"/>
      <c r="O9" s="5"/>
    </row>
    <row r="10" spans="1:15" ht="18" thickBot="1" x14ac:dyDescent="0.3">
      <c r="A10" s="2">
        <v>9</v>
      </c>
      <c r="B10" s="2" t="s">
        <v>11</v>
      </c>
      <c r="C10" s="3">
        <v>82</v>
      </c>
      <c r="D10" t="str">
        <f t="shared" si="0"/>
        <v>PASS</v>
      </c>
      <c r="L10" s="5"/>
      <c r="M10" s="5"/>
      <c r="N10" s="5"/>
      <c r="O10" s="5"/>
    </row>
    <row r="11" spans="1:15" ht="18" thickBot="1" x14ac:dyDescent="0.3">
      <c r="A11" s="2">
        <v>10</v>
      </c>
      <c r="B11" s="2" t="s">
        <v>12</v>
      </c>
      <c r="C11" s="3">
        <v>45</v>
      </c>
      <c r="D11" t="str">
        <f t="shared" si="0"/>
        <v>PASS</v>
      </c>
      <c r="L11" s="5"/>
      <c r="M11" s="5"/>
      <c r="N11" s="5"/>
      <c r="O11" s="5"/>
    </row>
    <row r="12" spans="1:15" ht="18" thickBot="1" x14ac:dyDescent="0.3">
      <c r="A12" s="2">
        <v>11</v>
      </c>
      <c r="B12" s="2" t="s">
        <v>13</v>
      </c>
      <c r="C12" s="2">
        <v>92</v>
      </c>
      <c r="D12" t="str">
        <f t="shared" si="0"/>
        <v>PASS</v>
      </c>
      <c r="L12" s="5"/>
      <c r="M12" s="5"/>
      <c r="N12" s="5"/>
      <c r="O12" s="5"/>
    </row>
    <row r="13" spans="1:15" ht="18" thickBot="1" x14ac:dyDescent="0.3">
      <c r="A13" s="2">
        <v>12</v>
      </c>
      <c r="B13" s="2" t="s">
        <v>14</v>
      </c>
      <c r="C13" s="2">
        <v>68</v>
      </c>
      <c r="D13" t="str">
        <f t="shared" si="0"/>
        <v>PASS</v>
      </c>
    </row>
    <row r="14" spans="1:15" ht="18" thickBot="1" x14ac:dyDescent="0.3">
      <c r="A14" s="2">
        <v>13</v>
      </c>
      <c r="B14" s="2" t="s">
        <v>15</v>
      </c>
      <c r="C14" s="2">
        <v>85</v>
      </c>
      <c r="D14" t="str">
        <f t="shared" si="0"/>
        <v>PASS</v>
      </c>
    </row>
    <row r="15" spans="1:15" ht="18" thickBot="1" x14ac:dyDescent="0.3">
      <c r="A15" s="2">
        <v>14</v>
      </c>
      <c r="B15" s="2" t="s">
        <v>16</v>
      </c>
      <c r="C15" s="2">
        <v>30</v>
      </c>
      <c r="D15" t="str">
        <f t="shared" si="0"/>
        <v>FAIL</v>
      </c>
    </row>
    <row r="16" spans="1:15" ht="18" thickBot="1" x14ac:dyDescent="0.3">
      <c r="A16" s="2">
        <v>15</v>
      </c>
      <c r="B16" s="2" t="s">
        <v>17</v>
      </c>
      <c r="C16" s="2">
        <v>75</v>
      </c>
      <c r="D16" t="str">
        <f t="shared" si="0"/>
        <v>PASS</v>
      </c>
    </row>
    <row r="17" spans="1:4" ht="18" thickBot="1" x14ac:dyDescent="0.3">
      <c r="A17" s="2">
        <v>16</v>
      </c>
      <c r="B17" s="2" t="s">
        <v>18</v>
      </c>
      <c r="C17" s="2">
        <v>90</v>
      </c>
      <c r="D17" t="str">
        <f t="shared" si="0"/>
        <v>PASS</v>
      </c>
    </row>
    <row r="18" spans="1:4" ht="18" thickBot="1" x14ac:dyDescent="0.3">
      <c r="A18" s="2">
        <v>17</v>
      </c>
      <c r="B18" s="2" t="s">
        <v>19</v>
      </c>
      <c r="C18" s="2">
        <v>62</v>
      </c>
      <c r="D18" t="str">
        <f t="shared" si="0"/>
        <v>PASS</v>
      </c>
    </row>
    <row r="19" spans="1:4" ht="18" thickBot="1" x14ac:dyDescent="0.3">
      <c r="A19" s="2">
        <v>18</v>
      </c>
      <c r="B19" s="2" t="s">
        <v>20</v>
      </c>
      <c r="C19" s="2">
        <v>88</v>
      </c>
      <c r="D19" t="str">
        <f t="shared" si="0"/>
        <v>PASS</v>
      </c>
    </row>
    <row r="20" spans="1:4" ht="18" thickBot="1" x14ac:dyDescent="0.3">
      <c r="A20" s="2">
        <v>19</v>
      </c>
      <c r="B20" s="2" t="s">
        <v>21</v>
      </c>
      <c r="C20" s="2">
        <v>70</v>
      </c>
      <c r="D20" t="str">
        <f t="shared" si="0"/>
        <v>PASS</v>
      </c>
    </row>
    <row r="21" spans="1:4" ht="18" thickBot="1" x14ac:dyDescent="0.3">
      <c r="A21" s="2">
        <v>20</v>
      </c>
      <c r="B21" s="2" t="s">
        <v>22</v>
      </c>
      <c r="C21" s="2">
        <v>52</v>
      </c>
      <c r="D21" t="str">
        <f t="shared" si="0"/>
        <v>PASS</v>
      </c>
    </row>
  </sheetData>
  <mergeCells count="1">
    <mergeCell ref="L7:O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6ED7-987F-4D4A-B15C-3F84D49995F2}">
  <dimension ref="A1:Q21"/>
  <sheetViews>
    <sheetView workbookViewId="0">
      <selection activeCell="A2" sqref="A2:B19"/>
    </sheetView>
  </sheetViews>
  <sheetFormatPr defaultRowHeight="15" x14ac:dyDescent="0.25"/>
  <cols>
    <col min="1" max="1" width="19.7109375" bestFit="1" customWidth="1"/>
    <col min="2" max="2" width="9.42578125" bestFit="1" customWidth="1"/>
    <col min="3" max="3" width="16" bestFit="1" customWidth="1"/>
  </cols>
  <sheetData>
    <row r="1" spans="1:17" ht="17.25" x14ac:dyDescent="0.25">
      <c r="A1" s="12" t="s">
        <v>25</v>
      </c>
      <c r="B1" s="12" t="s">
        <v>26</v>
      </c>
      <c r="C1" s="12" t="s">
        <v>27</v>
      </c>
    </row>
    <row r="2" spans="1:17" ht="17.25" x14ac:dyDescent="0.25">
      <c r="A2" s="13" t="s">
        <v>28</v>
      </c>
      <c r="B2" s="13">
        <v>28000</v>
      </c>
      <c r="C2" s="13" t="str">
        <f>IF(B2&gt;=40000, "Bonus", "No Bonus")</f>
        <v>No Bonus</v>
      </c>
    </row>
    <row r="3" spans="1:17" ht="17.25" x14ac:dyDescent="0.25">
      <c r="A3" s="14" t="s">
        <v>29</v>
      </c>
      <c r="B3" s="14">
        <v>45000</v>
      </c>
      <c r="C3" s="13" t="str">
        <f t="shared" ref="C3:C21" si="0">IF(B3&gt;=40000, "Bonus", "No Bonus")</f>
        <v>Bonus</v>
      </c>
    </row>
    <row r="4" spans="1:17" ht="17.25" x14ac:dyDescent="0.25">
      <c r="A4" s="13" t="s">
        <v>30</v>
      </c>
      <c r="B4" s="13">
        <v>52000</v>
      </c>
      <c r="C4" s="13" t="str">
        <f t="shared" si="0"/>
        <v>Bonus</v>
      </c>
    </row>
    <row r="5" spans="1:17" ht="17.25" x14ac:dyDescent="0.25">
      <c r="A5" s="14" t="s">
        <v>31</v>
      </c>
      <c r="B5" s="14">
        <v>30000</v>
      </c>
      <c r="C5" s="13" t="str">
        <f t="shared" si="0"/>
        <v>No Bonus</v>
      </c>
    </row>
    <row r="6" spans="1:17" ht="17.25" x14ac:dyDescent="0.25">
      <c r="A6" s="7" t="s">
        <v>32</v>
      </c>
      <c r="B6" s="14">
        <v>32000</v>
      </c>
      <c r="C6" s="13" t="str">
        <f t="shared" si="0"/>
        <v>No Bonus</v>
      </c>
      <c r="M6" s="15" t="s">
        <v>37</v>
      </c>
      <c r="N6" s="16"/>
      <c r="O6" s="16"/>
      <c r="P6" s="16"/>
      <c r="Q6" s="16"/>
    </row>
    <row r="7" spans="1:17" ht="17.25" x14ac:dyDescent="0.25">
      <c r="A7" s="8" t="s">
        <v>33</v>
      </c>
      <c r="B7" s="14">
        <v>45000</v>
      </c>
      <c r="C7" s="13" t="str">
        <f t="shared" si="0"/>
        <v>Bonus</v>
      </c>
      <c r="M7" s="16"/>
      <c r="N7" s="16"/>
      <c r="O7" s="16"/>
      <c r="P7" s="16"/>
      <c r="Q7" s="16"/>
    </row>
    <row r="8" spans="1:17" ht="17.25" x14ac:dyDescent="0.25">
      <c r="A8" s="7" t="s">
        <v>34</v>
      </c>
      <c r="B8" s="14">
        <v>38000</v>
      </c>
      <c r="C8" s="13" t="str">
        <f t="shared" si="0"/>
        <v>No Bonus</v>
      </c>
      <c r="M8" s="16"/>
      <c r="N8" s="16"/>
      <c r="O8" s="16"/>
      <c r="P8" s="16"/>
      <c r="Q8" s="16"/>
    </row>
    <row r="9" spans="1:17" ht="17.25" x14ac:dyDescent="0.25">
      <c r="A9" s="8" t="s">
        <v>35</v>
      </c>
      <c r="B9" s="14">
        <v>52000</v>
      </c>
      <c r="C9" s="13" t="str">
        <f t="shared" si="0"/>
        <v>Bonus</v>
      </c>
      <c r="M9" s="16"/>
      <c r="N9" s="16"/>
      <c r="O9" s="16"/>
      <c r="P9" s="16"/>
      <c r="Q9" s="16"/>
    </row>
    <row r="10" spans="1:17" ht="17.25" x14ac:dyDescent="0.25">
      <c r="A10" s="7" t="s">
        <v>36</v>
      </c>
      <c r="B10" s="14">
        <v>30000</v>
      </c>
      <c r="C10" s="13" t="str">
        <f t="shared" si="0"/>
        <v>No Bonus</v>
      </c>
      <c r="M10" s="16"/>
      <c r="N10" s="16"/>
      <c r="O10" s="16"/>
      <c r="P10" s="16"/>
      <c r="Q10" s="16"/>
    </row>
    <row r="11" spans="1:17" ht="17.25" x14ac:dyDescent="0.25">
      <c r="A11" s="7" t="s">
        <v>3</v>
      </c>
      <c r="B11" s="14">
        <v>36617</v>
      </c>
      <c r="C11" s="13" t="str">
        <f t="shared" si="0"/>
        <v>No Bonus</v>
      </c>
      <c r="M11" s="16"/>
      <c r="N11" s="16"/>
      <c r="O11" s="16"/>
      <c r="P11" s="16"/>
      <c r="Q11" s="16"/>
    </row>
    <row r="12" spans="1:17" ht="17.25" x14ac:dyDescent="0.25">
      <c r="A12" s="8" t="s">
        <v>4</v>
      </c>
      <c r="B12" s="14">
        <v>37464</v>
      </c>
      <c r="C12" s="13" t="str">
        <f t="shared" si="0"/>
        <v>No Bonus</v>
      </c>
      <c r="M12" s="16"/>
      <c r="N12" s="16"/>
      <c r="O12" s="16"/>
      <c r="P12" s="16"/>
      <c r="Q12" s="16"/>
    </row>
    <row r="13" spans="1:17" ht="17.25" x14ac:dyDescent="0.25">
      <c r="A13" s="7" t="s">
        <v>5</v>
      </c>
      <c r="B13" s="14">
        <v>35711</v>
      </c>
      <c r="C13" s="13" t="str">
        <f t="shared" si="0"/>
        <v>No Bonus</v>
      </c>
      <c r="M13" s="16"/>
      <c r="N13" s="16"/>
      <c r="O13" s="16"/>
      <c r="P13" s="16"/>
      <c r="Q13" s="16"/>
    </row>
    <row r="14" spans="1:17" ht="17.25" x14ac:dyDescent="0.25">
      <c r="A14" s="8" t="s">
        <v>6</v>
      </c>
      <c r="B14" s="14">
        <v>32281</v>
      </c>
      <c r="C14" s="13" t="str">
        <f t="shared" si="0"/>
        <v>No Bonus</v>
      </c>
    </row>
    <row r="15" spans="1:17" ht="17.25" x14ac:dyDescent="0.25">
      <c r="A15" s="7" t="s">
        <v>7</v>
      </c>
      <c r="B15" s="14">
        <v>39265</v>
      </c>
      <c r="C15" s="13" t="str">
        <f t="shared" si="0"/>
        <v>No Bonus</v>
      </c>
    </row>
    <row r="16" spans="1:17" ht="17.25" x14ac:dyDescent="0.25">
      <c r="A16" s="8" t="s">
        <v>35</v>
      </c>
      <c r="B16" s="14">
        <v>37915</v>
      </c>
      <c r="C16" s="13" t="str">
        <f t="shared" si="0"/>
        <v>No Bonus</v>
      </c>
    </row>
    <row r="17" spans="1:3" ht="17.25" x14ac:dyDescent="0.25">
      <c r="A17" s="7" t="s">
        <v>36</v>
      </c>
      <c r="B17" s="14">
        <v>34926</v>
      </c>
      <c r="C17" s="13" t="str">
        <f t="shared" si="0"/>
        <v>No Bonus</v>
      </c>
    </row>
    <row r="18" spans="1:3" ht="17.25" x14ac:dyDescent="0.25">
      <c r="A18" s="7" t="s">
        <v>3</v>
      </c>
      <c r="B18" s="14">
        <v>33471</v>
      </c>
      <c r="C18" s="13" t="str">
        <f t="shared" si="0"/>
        <v>No Bonus</v>
      </c>
    </row>
    <row r="19" spans="1:3" ht="17.25" x14ac:dyDescent="0.25">
      <c r="A19" s="8" t="s">
        <v>4</v>
      </c>
      <c r="B19" s="14">
        <v>30797</v>
      </c>
      <c r="C19" s="13" t="str">
        <f t="shared" si="0"/>
        <v>No Bonus</v>
      </c>
    </row>
    <row r="20" spans="1:3" ht="17.25" x14ac:dyDescent="0.25">
      <c r="A20" s="7" t="s">
        <v>5</v>
      </c>
      <c r="B20" s="14">
        <v>31782</v>
      </c>
      <c r="C20" s="13" t="str">
        <f t="shared" si="0"/>
        <v>No Bonus</v>
      </c>
    </row>
    <row r="21" spans="1:3" ht="17.25" x14ac:dyDescent="0.25">
      <c r="A21" s="8" t="s">
        <v>6</v>
      </c>
      <c r="B21" s="14">
        <v>32784</v>
      </c>
      <c r="C21" s="13" t="str">
        <f t="shared" si="0"/>
        <v>No Bonus</v>
      </c>
    </row>
  </sheetData>
  <mergeCells count="1">
    <mergeCell ref="M6:Q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74E6B-1FC5-4FCC-B025-B6A3EDCA0DAC}">
  <dimension ref="A1:Q21"/>
  <sheetViews>
    <sheetView workbookViewId="0">
      <selection activeCell="D1" sqref="A1:D21"/>
    </sheetView>
  </sheetViews>
  <sheetFormatPr defaultRowHeight="15" x14ac:dyDescent="0.25"/>
  <sheetData>
    <row r="1" spans="1:17" ht="34.5" x14ac:dyDescent="0.25">
      <c r="A1" s="19" t="s">
        <v>0</v>
      </c>
      <c r="B1" s="19" t="s">
        <v>1</v>
      </c>
      <c r="C1" s="19" t="s">
        <v>2</v>
      </c>
      <c r="D1" s="19" t="s">
        <v>39</v>
      </c>
    </row>
    <row r="2" spans="1:17" ht="17.25" x14ac:dyDescent="0.25">
      <c r="A2" s="20">
        <v>1</v>
      </c>
      <c r="B2" s="20" t="s">
        <v>3</v>
      </c>
      <c r="C2" s="21">
        <v>78</v>
      </c>
      <c r="D2" s="22" t="str">
        <f>IF(C2&gt;=75,"A",IF(C2&gt;=60,"B",IF(C2&gt;=40,"C","Fail")))</f>
        <v>A</v>
      </c>
    </row>
    <row r="3" spans="1:17" ht="17.25" x14ac:dyDescent="0.25">
      <c r="A3" s="20">
        <v>2</v>
      </c>
      <c r="B3" s="20" t="s">
        <v>4</v>
      </c>
      <c r="C3" s="21">
        <v>65</v>
      </c>
      <c r="D3" s="22" t="str">
        <f t="shared" ref="D3:D21" si="0">IF(C3&gt;=75,"A",IF(C3&gt;=60,"B",IF(C3&gt;=40,"C","Fail")))</f>
        <v>B</v>
      </c>
    </row>
    <row r="4" spans="1:17" ht="17.25" x14ac:dyDescent="0.25">
      <c r="A4" s="20">
        <v>3</v>
      </c>
      <c r="B4" s="20" t="s">
        <v>5</v>
      </c>
      <c r="C4" s="21">
        <v>90</v>
      </c>
      <c r="D4" s="22" t="str">
        <f t="shared" si="0"/>
        <v>A</v>
      </c>
      <c r="M4" s="17" t="s">
        <v>38</v>
      </c>
      <c r="N4" s="18"/>
      <c r="O4" s="18"/>
      <c r="P4" s="18"/>
      <c r="Q4" s="18"/>
    </row>
    <row r="5" spans="1:17" ht="17.25" x14ac:dyDescent="0.25">
      <c r="A5" s="20">
        <v>4</v>
      </c>
      <c r="B5" s="20" t="s">
        <v>6</v>
      </c>
      <c r="C5" s="21">
        <v>35</v>
      </c>
      <c r="D5" s="22" t="str">
        <f t="shared" si="0"/>
        <v>Fail</v>
      </c>
      <c r="M5" s="18"/>
      <c r="N5" s="18"/>
      <c r="O5" s="18"/>
      <c r="P5" s="18"/>
      <c r="Q5" s="18"/>
    </row>
    <row r="6" spans="1:17" ht="17.25" x14ac:dyDescent="0.25">
      <c r="A6" s="20">
        <v>5</v>
      </c>
      <c r="B6" s="20" t="s">
        <v>7</v>
      </c>
      <c r="C6" s="21">
        <v>55</v>
      </c>
      <c r="D6" s="22" t="str">
        <f t="shared" si="0"/>
        <v>C</v>
      </c>
      <c r="M6" s="18"/>
      <c r="N6" s="18"/>
      <c r="O6" s="18"/>
      <c r="P6" s="18"/>
      <c r="Q6" s="18"/>
    </row>
    <row r="7" spans="1:17" ht="17.25" x14ac:dyDescent="0.25">
      <c r="A7" s="20">
        <v>6</v>
      </c>
      <c r="B7" s="20" t="s">
        <v>8</v>
      </c>
      <c r="C7" s="21">
        <v>72</v>
      </c>
      <c r="D7" s="22" t="str">
        <f t="shared" si="0"/>
        <v>B</v>
      </c>
      <c r="M7" s="18"/>
      <c r="N7" s="18"/>
      <c r="O7" s="18"/>
      <c r="P7" s="18"/>
      <c r="Q7" s="18"/>
    </row>
    <row r="8" spans="1:17" ht="17.25" x14ac:dyDescent="0.25">
      <c r="A8" s="20">
        <v>7</v>
      </c>
      <c r="B8" s="20" t="s">
        <v>9</v>
      </c>
      <c r="C8" s="21">
        <v>38</v>
      </c>
      <c r="D8" s="22" t="str">
        <f t="shared" si="0"/>
        <v>Fail</v>
      </c>
      <c r="M8" s="18"/>
      <c r="N8" s="18"/>
      <c r="O8" s="18"/>
      <c r="P8" s="18"/>
      <c r="Q8" s="18"/>
    </row>
    <row r="9" spans="1:17" ht="17.25" x14ac:dyDescent="0.25">
      <c r="A9" s="20">
        <v>8</v>
      </c>
      <c r="B9" s="20" t="s">
        <v>10</v>
      </c>
      <c r="C9" s="21">
        <v>58</v>
      </c>
      <c r="D9" s="22" t="str">
        <f t="shared" si="0"/>
        <v>C</v>
      </c>
      <c r="M9" s="18"/>
      <c r="N9" s="18"/>
      <c r="O9" s="18"/>
      <c r="P9" s="18"/>
      <c r="Q9" s="18"/>
    </row>
    <row r="10" spans="1:17" ht="17.25" x14ac:dyDescent="0.25">
      <c r="A10" s="20">
        <v>9</v>
      </c>
      <c r="B10" s="20" t="s">
        <v>11</v>
      </c>
      <c r="C10" s="21">
        <v>82</v>
      </c>
      <c r="D10" s="22" t="str">
        <f t="shared" si="0"/>
        <v>A</v>
      </c>
      <c r="M10" s="18"/>
      <c r="N10" s="18"/>
      <c r="O10" s="18"/>
      <c r="P10" s="18"/>
      <c r="Q10" s="18"/>
    </row>
    <row r="11" spans="1:17" ht="17.25" x14ac:dyDescent="0.25">
      <c r="A11" s="20">
        <v>10</v>
      </c>
      <c r="B11" s="20" t="s">
        <v>12</v>
      </c>
      <c r="C11" s="21">
        <v>45</v>
      </c>
      <c r="D11" s="22" t="str">
        <f t="shared" si="0"/>
        <v>C</v>
      </c>
      <c r="M11" s="18"/>
      <c r="N11" s="18"/>
      <c r="O11" s="18"/>
      <c r="P11" s="18"/>
      <c r="Q11" s="18"/>
    </row>
    <row r="12" spans="1:17" ht="17.25" x14ac:dyDescent="0.25">
      <c r="A12" s="20">
        <v>11</v>
      </c>
      <c r="B12" s="20" t="s">
        <v>13</v>
      </c>
      <c r="C12" s="20">
        <v>92</v>
      </c>
      <c r="D12" s="22" t="str">
        <f t="shared" si="0"/>
        <v>A</v>
      </c>
      <c r="M12" s="18"/>
      <c r="N12" s="18"/>
      <c r="O12" s="18"/>
      <c r="P12" s="18"/>
      <c r="Q12" s="18"/>
    </row>
    <row r="13" spans="1:17" ht="17.25" x14ac:dyDescent="0.25">
      <c r="A13" s="20">
        <v>12</v>
      </c>
      <c r="B13" s="20" t="s">
        <v>14</v>
      </c>
      <c r="C13" s="20">
        <v>68</v>
      </c>
      <c r="D13" s="22" t="str">
        <f t="shared" si="0"/>
        <v>B</v>
      </c>
      <c r="M13" s="18"/>
      <c r="N13" s="18"/>
      <c r="O13" s="18"/>
      <c r="P13" s="18"/>
      <c r="Q13" s="18"/>
    </row>
    <row r="14" spans="1:17" ht="17.25" x14ac:dyDescent="0.25">
      <c r="A14" s="20">
        <v>13</v>
      </c>
      <c r="B14" s="20" t="s">
        <v>15</v>
      </c>
      <c r="C14" s="20">
        <v>85</v>
      </c>
      <c r="D14" s="22" t="str">
        <f t="shared" si="0"/>
        <v>A</v>
      </c>
    </row>
    <row r="15" spans="1:17" ht="17.25" x14ac:dyDescent="0.25">
      <c r="A15" s="20">
        <v>14</v>
      </c>
      <c r="B15" s="20" t="s">
        <v>16</v>
      </c>
      <c r="C15" s="20">
        <v>30</v>
      </c>
      <c r="D15" s="22" t="str">
        <f t="shared" si="0"/>
        <v>Fail</v>
      </c>
    </row>
    <row r="16" spans="1:17" ht="17.25" x14ac:dyDescent="0.25">
      <c r="A16" s="20">
        <v>15</v>
      </c>
      <c r="B16" s="20" t="s">
        <v>17</v>
      </c>
      <c r="C16" s="20">
        <v>75</v>
      </c>
      <c r="D16" s="22" t="str">
        <f t="shared" si="0"/>
        <v>A</v>
      </c>
    </row>
    <row r="17" spans="1:4" ht="17.25" x14ac:dyDescent="0.25">
      <c r="A17" s="20">
        <v>16</v>
      </c>
      <c r="B17" s="20" t="s">
        <v>18</v>
      </c>
      <c r="C17" s="20">
        <v>90</v>
      </c>
      <c r="D17" s="22" t="str">
        <f t="shared" si="0"/>
        <v>A</v>
      </c>
    </row>
    <row r="18" spans="1:4" ht="17.25" x14ac:dyDescent="0.25">
      <c r="A18" s="20">
        <v>17</v>
      </c>
      <c r="B18" s="20" t="s">
        <v>19</v>
      </c>
      <c r="C18" s="20">
        <v>62</v>
      </c>
      <c r="D18" s="22" t="str">
        <f t="shared" si="0"/>
        <v>B</v>
      </c>
    </row>
    <row r="19" spans="1:4" ht="17.25" x14ac:dyDescent="0.25">
      <c r="A19" s="20">
        <v>18</v>
      </c>
      <c r="B19" s="20" t="s">
        <v>20</v>
      </c>
      <c r="C19" s="20">
        <v>88</v>
      </c>
      <c r="D19" s="22" t="str">
        <f t="shared" si="0"/>
        <v>A</v>
      </c>
    </row>
    <row r="20" spans="1:4" ht="17.25" x14ac:dyDescent="0.25">
      <c r="A20" s="20">
        <v>19</v>
      </c>
      <c r="B20" s="20" t="s">
        <v>21</v>
      </c>
      <c r="C20" s="20">
        <v>70</v>
      </c>
      <c r="D20" s="22" t="str">
        <f t="shared" si="0"/>
        <v>B</v>
      </c>
    </row>
    <row r="21" spans="1:4" ht="17.25" x14ac:dyDescent="0.25">
      <c r="A21" s="20">
        <v>20</v>
      </c>
      <c r="B21" s="20" t="s">
        <v>22</v>
      </c>
      <c r="C21" s="20">
        <v>52</v>
      </c>
      <c r="D21" s="22" t="str">
        <f t="shared" si="0"/>
        <v>C</v>
      </c>
    </row>
  </sheetData>
  <mergeCells count="1">
    <mergeCell ref="M4:Q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6FFA-72CC-4CC6-ABA1-E0A6CB032DF9}">
  <dimension ref="A1:S21"/>
  <sheetViews>
    <sheetView workbookViewId="0">
      <selection activeCell="B2" sqref="B2:C20"/>
    </sheetView>
  </sheetViews>
  <sheetFormatPr defaultRowHeight="15" x14ac:dyDescent="0.25"/>
  <cols>
    <col min="1" max="1" width="14.42578125" bestFit="1" customWidth="1"/>
    <col min="2" max="2" width="5.5703125" bestFit="1" customWidth="1"/>
    <col min="3" max="3" width="22.28515625" bestFit="1" customWidth="1"/>
    <col min="4" max="4" width="9.5703125" bestFit="1" customWidth="1"/>
  </cols>
  <sheetData>
    <row r="1" spans="1:19" ht="17.25" x14ac:dyDescent="0.25">
      <c r="A1" s="12" t="s">
        <v>40</v>
      </c>
      <c r="B1" s="12" t="s">
        <v>41</v>
      </c>
      <c r="C1" s="12" t="s">
        <v>42</v>
      </c>
      <c r="D1" s="12" t="s">
        <v>43</v>
      </c>
    </row>
    <row r="2" spans="1:19" ht="17.25" x14ac:dyDescent="0.25">
      <c r="A2" s="13" t="s">
        <v>28</v>
      </c>
      <c r="B2" s="13">
        <v>25</v>
      </c>
      <c r="C2" s="13">
        <v>2</v>
      </c>
      <c r="D2" s="13" t="str">
        <f>IF(AND(B2&gt;=21,C2&gt;=1), "Eligible", "NE")</f>
        <v>Eligible</v>
      </c>
    </row>
    <row r="3" spans="1:19" ht="17.25" x14ac:dyDescent="0.25">
      <c r="A3" s="13" t="s">
        <v>29</v>
      </c>
      <c r="B3" s="13">
        <v>20</v>
      </c>
      <c r="C3" s="13">
        <v>1</v>
      </c>
      <c r="D3" s="13" t="str">
        <f t="shared" ref="D3:D21" si="0">IF(AND(B3&gt;=21,C3&gt;=1), "Eligible", "NE")</f>
        <v>NE</v>
      </c>
    </row>
    <row r="4" spans="1:19" ht="17.25" customHeight="1" x14ac:dyDescent="0.25">
      <c r="A4" s="13" t="s">
        <v>30</v>
      </c>
      <c r="B4" s="13">
        <v>30</v>
      </c>
      <c r="C4" s="13">
        <v>5</v>
      </c>
      <c r="D4" s="13" t="str">
        <f t="shared" si="0"/>
        <v>Eligible</v>
      </c>
      <c r="L4" s="5" t="s">
        <v>44</v>
      </c>
      <c r="M4" s="5"/>
      <c r="N4" s="5"/>
      <c r="O4" s="5"/>
      <c r="P4" s="5"/>
      <c r="Q4" s="5"/>
      <c r="R4" s="5"/>
      <c r="S4" s="5"/>
    </row>
    <row r="5" spans="1:19" ht="17.25" customHeight="1" x14ac:dyDescent="0.25">
      <c r="A5" s="13" t="s">
        <v>31</v>
      </c>
      <c r="B5" s="13">
        <v>22</v>
      </c>
      <c r="C5" s="13">
        <v>0</v>
      </c>
      <c r="D5" s="13" t="str">
        <f t="shared" si="0"/>
        <v>NE</v>
      </c>
      <c r="L5" s="5"/>
      <c r="M5" s="5"/>
      <c r="N5" s="5"/>
      <c r="O5" s="5"/>
      <c r="P5" s="5"/>
      <c r="Q5" s="5"/>
      <c r="R5" s="5"/>
      <c r="S5" s="5"/>
    </row>
    <row r="6" spans="1:19" ht="17.25" customHeight="1" x14ac:dyDescent="0.25">
      <c r="A6" s="13" t="s">
        <v>28</v>
      </c>
      <c r="B6" s="13">
        <v>36</v>
      </c>
      <c r="C6" s="13">
        <v>4</v>
      </c>
      <c r="D6" s="13" t="str">
        <f t="shared" si="0"/>
        <v>Eligible</v>
      </c>
      <c r="L6" s="5"/>
      <c r="M6" s="5"/>
      <c r="N6" s="5"/>
      <c r="O6" s="5"/>
      <c r="P6" s="5"/>
      <c r="Q6" s="5"/>
      <c r="R6" s="5"/>
      <c r="S6" s="5"/>
    </row>
    <row r="7" spans="1:19" ht="17.25" customHeight="1" x14ac:dyDescent="0.25">
      <c r="A7" s="13" t="s">
        <v>29</v>
      </c>
      <c r="B7" s="13">
        <v>41</v>
      </c>
      <c r="C7" s="13">
        <v>0</v>
      </c>
      <c r="D7" s="13" t="str">
        <f t="shared" si="0"/>
        <v>NE</v>
      </c>
      <c r="L7" s="5"/>
      <c r="M7" s="5"/>
      <c r="N7" s="5"/>
      <c r="O7" s="5"/>
      <c r="P7" s="5"/>
      <c r="Q7" s="5"/>
      <c r="R7" s="5"/>
      <c r="S7" s="5"/>
    </row>
    <row r="8" spans="1:19" ht="17.25" x14ac:dyDescent="0.25">
      <c r="A8" s="13" t="s">
        <v>30</v>
      </c>
      <c r="B8" s="13">
        <v>42</v>
      </c>
      <c r="C8" s="13">
        <v>0</v>
      </c>
      <c r="D8" s="13" t="str">
        <f t="shared" si="0"/>
        <v>NE</v>
      </c>
    </row>
    <row r="9" spans="1:19" ht="17.25" x14ac:dyDescent="0.25">
      <c r="A9" s="13" t="s">
        <v>31</v>
      </c>
      <c r="B9" s="13">
        <v>29</v>
      </c>
      <c r="C9" s="13">
        <v>1</v>
      </c>
      <c r="D9" s="13" t="str">
        <f t="shared" si="0"/>
        <v>Eligible</v>
      </c>
    </row>
    <row r="10" spans="1:19" ht="17.25" x14ac:dyDescent="0.25">
      <c r="A10" s="13" t="s">
        <v>32</v>
      </c>
      <c r="B10" s="13">
        <v>42</v>
      </c>
      <c r="C10" s="13">
        <v>0</v>
      </c>
      <c r="D10" s="13" t="str">
        <f t="shared" si="0"/>
        <v>NE</v>
      </c>
    </row>
    <row r="11" spans="1:19" ht="17.25" x14ac:dyDescent="0.25">
      <c r="A11" s="13" t="s">
        <v>33</v>
      </c>
      <c r="B11" s="13">
        <v>23</v>
      </c>
      <c r="C11" s="13">
        <v>1</v>
      </c>
      <c r="D11" s="13" t="str">
        <f t="shared" si="0"/>
        <v>Eligible</v>
      </c>
    </row>
    <row r="12" spans="1:19" ht="17.25" x14ac:dyDescent="0.25">
      <c r="A12" s="13" t="s">
        <v>34</v>
      </c>
      <c r="B12" s="13">
        <v>21</v>
      </c>
      <c r="C12" s="13">
        <v>3</v>
      </c>
      <c r="D12" s="13" t="str">
        <f t="shared" si="0"/>
        <v>Eligible</v>
      </c>
    </row>
    <row r="13" spans="1:19" ht="17.25" x14ac:dyDescent="0.25">
      <c r="A13" s="13" t="s">
        <v>35</v>
      </c>
      <c r="B13" s="13">
        <v>21</v>
      </c>
      <c r="C13" s="13">
        <v>2</v>
      </c>
      <c r="D13" s="13" t="str">
        <f t="shared" si="0"/>
        <v>Eligible</v>
      </c>
    </row>
    <row r="14" spans="1:19" ht="17.25" x14ac:dyDescent="0.25">
      <c r="A14" s="13" t="s">
        <v>36</v>
      </c>
      <c r="B14" s="13">
        <v>43</v>
      </c>
      <c r="C14" s="13">
        <v>4</v>
      </c>
      <c r="D14" s="13" t="str">
        <f t="shared" si="0"/>
        <v>Eligible</v>
      </c>
    </row>
    <row r="15" spans="1:19" ht="17.25" x14ac:dyDescent="0.25">
      <c r="A15" s="13" t="s">
        <v>3</v>
      </c>
      <c r="B15" s="13">
        <v>30</v>
      </c>
      <c r="C15" s="13">
        <v>0</v>
      </c>
      <c r="D15" s="13" t="str">
        <f t="shared" si="0"/>
        <v>NE</v>
      </c>
    </row>
    <row r="16" spans="1:19" ht="17.25" x14ac:dyDescent="0.25">
      <c r="A16" s="13" t="s">
        <v>4</v>
      </c>
      <c r="B16" s="13">
        <v>36</v>
      </c>
      <c r="C16" s="13">
        <v>1</v>
      </c>
      <c r="D16" s="13" t="str">
        <f t="shared" si="0"/>
        <v>Eligible</v>
      </c>
    </row>
    <row r="17" spans="1:4" ht="17.25" x14ac:dyDescent="0.25">
      <c r="A17" s="13" t="s">
        <v>5</v>
      </c>
      <c r="B17" s="13">
        <v>35</v>
      </c>
      <c r="C17" s="13">
        <v>0</v>
      </c>
      <c r="D17" s="13" t="str">
        <f t="shared" si="0"/>
        <v>NE</v>
      </c>
    </row>
    <row r="18" spans="1:4" ht="17.25" x14ac:dyDescent="0.25">
      <c r="A18" s="13" t="s">
        <v>6</v>
      </c>
      <c r="B18" s="13">
        <v>25</v>
      </c>
      <c r="C18" s="13">
        <v>1</v>
      </c>
      <c r="D18" s="13" t="str">
        <f t="shared" si="0"/>
        <v>Eligible</v>
      </c>
    </row>
    <row r="19" spans="1:4" ht="17.25" x14ac:dyDescent="0.25">
      <c r="A19" s="13" t="s">
        <v>7</v>
      </c>
      <c r="B19" s="13">
        <v>45</v>
      </c>
      <c r="C19" s="13">
        <v>4</v>
      </c>
      <c r="D19" s="13" t="str">
        <f t="shared" si="0"/>
        <v>Eligible</v>
      </c>
    </row>
    <row r="20" spans="1:4" ht="17.25" x14ac:dyDescent="0.25">
      <c r="A20" s="13" t="s">
        <v>35</v>
      </c>
      <c r="B20" s="13">
        <v>44</v>
      </c>
      <c r="C20" s="13">
        <v>5</v>
      </c>
      <c r="D20" s="13" t="str">
        <f t="shared" si="0"/>
        <v>Eligible</v>
      </c>
    </row>
    <row r="21" spans="1:4" ht="17.25" x14ac:dyDescent="0.25">
      <c r="A21" s="13" t="s">
        <v>36</v>
      </c>
      <c r="B21" s="13">
        <v>44</v>
      </c>
      <c r="C21" s="13">
        <v>0</v>
      </c>
      <c r="D21" s="13" t="str">
        <f t="shared" si="0"/>
        <v>NE</v>
      </c>
    </row>
  </sheetData>
  <mergeCells count="1">
    <mergeCell ref="L4:S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DD7E-B809-4E6C-9C59-C0FFE53D7058}">
  <dimension ref="A1:P20"/>
  <sheetViews>
    <sheetView workbookViewId="0">
      <selection activeCell="B2" sqref="B2:B15"/>
    </sheetView>
  </sheetViews>
  <sheetFormatPr defaultRowHeight="15" x14ac:dyDescent="0.25"/>
  <cols>
    <col min="1" max="1" width="17.5703125" bestFit="1" customWidth="1"/>
    <col min="2" max="2" width="16.7109375" bestFit="1" customWidth="1"/>
    <col min="3" max="3" width="27.28515625" bestFit="1" customWidth="1"/>
    <col min="4" max="4" width="9.85546875" bestFit="1" customWidth="1"/>
  </cols>
  <sheetData>
    <row r="1" spans="1:16" ht="18" thickBot="1" x14ac:dyDescent="0.3">
      <c r="A1" s="9" t="s">
        <v>1</v>
      </c>
      <c r="B1" s="9" t="s">
        <v>45</v>
      </c>
      <c r="C1" s="9" t="s">
        <v>46</v>
      </c>
      <c r="D1" s="9" t="s">
        <v>43</v>
      </c>
    </row>
    <row r="2" spans="1:16" ht="18" thickBot="1" x14ac:dyDescent="0.3">
      <c r="A2" s="10" t="s">
        <v>47</v>
      </c>
      <c r="B2" s="10">
        <v>85</v>
      </c>
      <c r="C2" s="10" t="s">
        <v>48</v>
      </c>
      <c r="D2" s="10" t="str">
        <f>IF(AND(B2&gt;=75,C2&gt;="Yes"), "Eligible", "NE")</f>
        <v>Eligible</v>
      </c>
    </row>
    <row r="3" spans="1:16" ht="18" thickBot="1" x14ac:dyDescent="0.3">
      <c r="A3" s="11" t="s">
        <v>49</v>
      </c>
      <c r="B3" s="11">
        <v>72</v>
      </c>
      <c r="C3" s="11" t="s">
        <v>48</v>
      </c>
      <c r="D3" s="10" t="str">
        <f t="shared" ref="D3:D20" si="0">IF(AND(B3&gt;=75,C3&gt;="Yes"), "Eligible", "NE")</f>
        <v>NE</v>
      </c>
    </row>
    <row r="4" spans="1:16" ht="18" thickBot="1" x14ac:dyDescent="0.3">
      <c r="A4" s="10" t="s">
        <v>50</v>
      </c>
      <c r="B4" s="10">
        <v>90</v>
      </c>
      <c r="C4" s="10" t="s">
        <v>51</v>
      </c>
      <c r="D4" s="10" t="str">
        <f t="shared" si="0"/>
        <v>NE</v>
      </c>
      <c r="I4" s="24" t="s">
        <v>53</v>
      </c>
      <c r="J4" s="24"/>
      <c r="K4" s="24"/>
      <c r="L4" s="24"/>
      <c r="M4" s="24"/>
      <c r="N4" s="24"/>
      <c r="O4" s="24"/>
      <c r="P4" s="24"/>
    </row>
    <row r="5" spans="1:16" ht="18" thickBot="1" x14ac:dyDescent="0.3">
      <c r="A5" s="11" t="s">
        <v>52</v>
      </c>
      <c r="B5" s="11">
        <v>80</v>
      </c>
      <c r="C5" s="11" t="s">
        <v>48</v>
      </c>
      <c r="D5" s="10" t="str">
        <f t="shared" si="0"/>
        <v>Eligible</v>
      </c>
      <c r="I5" s="24"/>
      <c r="J5" s="24"/>
      <c r="K5" s="24"/>
      <c r="L5" s="24"/>
      <c r="M5" s="24"/>
      <c r="N5" s="24"/>
      <c r="O5" s="24"/>
      <c r="P5" s="24"/>
    </row>
    <row r="6" spans="1:16" ht="18" thickBot="1" x14ac:dyDescent="0.3">
      <c r="A6" s="10" t="s">
        <v>4</v>
      </c>
      <c r="B6" s="23">
        <v>65</v>
      </c>
      <c r="C6" s="11" t="s">
        <v>48</v>
      </c>
      <c r="D6" s="10" t="str">
        <f t="shared" si="0"/>
        <v>NE</v>
      </c>
      <c r="I6" s="24"/>
      <c r="J6" s="24"/>
      <c r="K6" s="24"/>
      <c r="L6" s="24"/>
      <c r="M6" s="24"/>
      <c r="N6" s="24"/>
      <c r="O6" s="24"/>
      <c r="P6" s="24"/>
    </row>
    <row r="7" spans="1:16" ht="18" thickBot="1" x14ac:dyDescent="0.3">
      <c r="A7" s="10" t="s">
        <v>5</v>
      </c>
      <c r="B7" s="23">
        <v>90</v>
      </c>
      <c r="C7" s="10" t="s">
        <v>51</v>
      </c>
      <c r="D7" s="10" t="str">
        <f t="shared" si="0"/>
        <v>NE</v>
      </c>
      <c r="I7" s="24"/>
      <c r="J7" s="24"/>
      <c r="K7" s="24"/>
      <c r="L7" s="24"/>
      <c r="M7" s="24"/>
      <c r="N7" s="24"/>
      <c r="O7" s="24"/>
      <c r="P7" s="24"/>
    </row>
    <row r="8" spans="1:16" ht="18" thickBot="1" x14ac:dyDescent="0.3">
      <c r="A8" s="10" t="s">
        <v>6</v>
      </c>
      <c r="B8" s="23">
        <v>35</v>
      </c>
      <c r="C8" s="11" t="s">
        <v>48</v>
      </c>
      <c r="D8" s="10" t="str">
        <f t="shared" si="0"/>
        <v>NE</v>
      </c>
    </row>
    <row r="9" spans="1:16" ht="18" thickBot="1" x14ac:dyDescent="0.3">
      <c r="A9" s="10" t="s">
        <v>7</v>
      </c>
      <c r="B9" s="23">
        <v>55</v>
      </c>
      <c r="C9" s="10" t="s">
        <v>48</v>
      </c>
      <c r="D9" s="10" t="str">
        <f t="shared" si="0"/>
        <v>NE</v>
      </c>
    </row>
    <row r="10" spans="1:16" ht="18" thickBot="1" x14ac:dyDescent="0.3">
      <c r="A10" s="10" t="s">
        <v>8</v>
      </c>
      <c r="B10" s="23">
        <v>72</v>
      </c>
      <c r="C10" s="11" t="s">
        <v>48</v>
      </c>
      <c r="D10" s="10" t="str">
        <f t="shared" si="0"/>
        <v>NE</v>
      </c>
    </row>
    <row r="11" spans="1:16" ht="18" thickBot="1" x14ac:dyDescent="0.3">
      <c r="A11" s="10" t="s">
        <v>9</v>
      </c>
      <c r="B11" s="23">
        <v>38</v>
      </c>
      <c r="C11" s="10" t="s">
        <v>51</v>
      </c>
      <c r="D11" s="10" t="str">
        <f t="shared" si="0"/>
        <v>NE</v>
      </c>
    </row>
    <row r="12" spans="1:16" ht="18" thickBot="1" x14ac:dyDescent="0.3">
      <c r="A12" s="10" t="s">
        <v>10</v>
      </c>
      <c r="B12" s="23">
        <v>58</v>
      </c>
      <c r="C12" s="11" t="s">
        <v>48</v>
      </c>
      <c r="D12" s="10" t="str">
        <f t="shared" si="0"/>
        <v>NE</v>
      </c>
    </row>
    <row r="13" spans="1:16" ht="18" thickBot="1" x14ac:dyDescent="0.3">
      <c r="A13" s="10" t="s">
        <v>11</v>
      </c>
      <c r="B13" s="23">
        <v>82</v>
      </c>
      <c r="C13" s="11" t="s">
        <v>48</v>
      </c>
      <c r="D13" s="10" t="str">
        <f t="shared" si="0"/>
        <v>Eligible</v>
      </c>
    </row>
    <row r="14" spans="1:16" ht="18" thickBot="1" x14ac:dyDescent="0.3">
      <c r="A14" s="10" t="s">
        <v>12</v>
      </c>
      <c r="B14" s="23">
        <v>45</v>
      </c>
      <c r="C14" s="10" t="s">
        <v>48</v>
      </c>
      <c r="D14" s="10" t="str">
        <f t="shared" si="0"/>
        <v>NE</v>
      </c>
    </row>
    <row r="15" spans="1:16" ht="18" thickBot="1" x14ac:dyDescent="0.3">
      <c r="A15" s="10" t="s">
        <v>13</v>
      </c>
      <c r="B15" s="10">
        <v>92</v>
      </c>
      <c r="C15" s="11" t="s">
        <v>48</v>
      </c>
      <c r="D15" s="10" t="str">
        <f t="shared" si="0"/>
        <v>Eligible</v>
      </c>
    </row>
    <row r="16" spans="1:16" ht="18" thickBot="1" x14ac:dyDescent="0.3">
      <c r="A16" s="10" t="s">
        <v>14</v>
      </c>
      <c r="B16" s="10">
        <v>68</v>
      </c>
      <c r="C16" s="10" t="s">
        <v>51</v>
      </c>
      <c r="D16" s="10" t="str">
        <f t="shared" si="0"/>
        <v>NE</v>
      </c>
    </row>
    <row r="17" spans="1:4" ht="18" thickBot="1" x14ac:dyDescent="0.3">
      <c r="A17" s="10" t="s">
        <v>15</v>
      </c>
      <c r="B17" s="10">
        <v>85</v>
      </c>
      <c r="C17" s="11" t="s">
        <v>48</v>
      </c>
      <c r="D17" s="10" t="str">
        <f t="shared" si="0"/>
        <v>Eligible</v>
      </c>
    </row>
    <row r="18" spans="1:4" ht="18" thickBot="1" x14ac:dyDescent="0.3">
      <c r="A18" s="10" t="s">
        <v>16</v>
      </c>
      <c r="B18" s="10">
        <v>30</v>
      </c>
      <c r="C18" s="11" t="s">
        <v>48</v>
      </c>
      <c r="D18" s="10" t="str">
        <f t="shared" si="0"/>
        <v>NE</v>
      </c>
    </row>
    <row r="19" spans="1:4" ht="18" thickBot="1" x14ac:dyDescent="0.3">
      <c r="A19" s="10" t="s">
        <v>17</v>
      </c>
      <c r="B19" s="10">
        <v>75</v>
      </c>
      <c r="C19" s="10" t="s">
        <v>51</v>
      </c>
      <c r="D19" s="10" t="str">
        <f t="shared" si="0"/>
        <v>NE</v>
      </c>
    </row>
    <row r="20" spans="1:4" ht="18" thickBot="1" x14ac:dyDescent="0.3">
      <c r="A20" s="10" t="s">
        <v>18</v>
      </c>
      <c r="B20" s="10">
        <v>90</v>
      </c>
      <c r="C20" s="11" t="s">
        <v>48</v>
      </c>
      <c r="D20" s="10" t="str">
        <f t="shared" si="0"/>
        <v>Eligible</v>
      </c>
    </row>
  </sheetData>
  <mergeCells count="1">
    <mergeCell ref="I4:P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C353-A4D3-4906-9530-2EDCCBF39F33}">
  <dimension ref="A1:Q23"/>
  <sheetViews>
    <sheetView workbookViewId="0">
      <selection activeCell="A2" sqref="A2:A10"/>
    </sheetView>
  </sheetViews>
  <sheetFormatPr defaultRowHeight="15" x14ac:dyDescent="0.25"/>
  <cols>
    <col min="1" max="1" width="19.7109375" bestFit="1" customWidth="1"/>
    <col min="2" max="2" width="21.28515625" bestFit="1" customWidth="1"/>
    <col min="3" max="3" width="15.42578125" bestFit="1" customWidth="1"/>
    <col min="4" max="4" width="11.140625" bestFit="1" customWidth="1"/>
  </cols>
  <sheetData>
    <row r="1" spans="1:17" ht="17.25" x14ac:dyDescent="0.25">
      <c r="A1" s="12" t="s">
        <v>54</v>
      </c>
      <c r="B1" s="12" t="s">
        <v>55</v>
      </c>
      <c r="C1" s="12" t="s">
        <v>56</v>
      </c>
      <c r="D1" s="12" t="s">
        <v>57</v>
      </c>
    </row>
    <row r="2" spans="1:17" ht="17.25" x14ac:dyDescent="0.25">
      <c r="A2" s="13" t="s">
        <v>3</v>
      </c>
      <c r="B2" s="13">
        <v>9000</v>
      </c>
      <c r="C2" s="13" t="s">
        <v>51</v>
      </c>
      <c r="D2" s="13" t="str">
        <f>IF(OR(B2&gt;=10000,C2="Yes"),"Discount","ND")</f>
        <v>ND</v>
      </c>
    </row>
    <row r="3" spans="1:17" ht="17.25" x14ac:dyDescent="0.25">
      <c r="A3" s="14" t="s">
        <v>58</v>
      </c>
      <c r="B3" s="14">
        <v>12000</v>
      </c>
      <c r="C3" s="14" t="s">
        <v>51</v>
      </c>
      <c r="D3" s="13" t="str">
        <f t="shared" ref="D3:D23" si="0">IF(OR(B3&gt;=10000,C3="Yes"),"Discount","ND")</f>
        <v>Discount</v>
      </c>
    </row>
    <row r="4" spans="1:17" ht="17.25" x14ac:dyDescent="0.25">
      <c r="A4" s="13" t="s">
        <v>50</v>
      </c>
      <c r="B4" s="13">
        <v>4000</v>
      </c>
      <c r="C4" s="13" t="s">
        <v>48</v>
      </c>
      <c r="D4" s="13" t="str">
        <f t="shared" si="0"/>
        <v>Discount</v>
      </c>
    </row>
    <row r="5" spans="1:17" ht="17.25" x14ac:dyDescent="0.25">
      <c r="A5" s="14" t="s">
        <v>6</v>
      </c>
      <c r="B5" s="14">
        <v>3000</v>
      </c>
      <c r="C5" s="14" t="s">
        <v>51</v>
      </c>
      <c r="D5" s="13" t="str">
        <f t="shared" si="0"/>
        <v>ND</v>
      </c>
      <c r="J5" s="24" t="s">
        <v>59</v>
      </c>
      <c r="K5" s="24"/>
      <c r="L5" s="24"/>
      <c r="M5" s="24"/>
      <c r="N5" s="24"/>
      <c r="O5" s="24"/>
      <c r="P5" s="24"/>
      <c r="Q5" s="24"/>
    </row>
    <row r="6" spans="1:17" ht="17.25" x14ac:dyDescent="0.25">
      <c r="A6" s="13" t="s">
        <v>28</v>
      </c>
      <c r="B6" s="13">
        <v>28000</v>
      </c>
      <c r="C6" s="13" t="s">
        <v>51</v>
      </c>
      <c r="D6" s="13" t="str">
        <f t="shared" si="0"/>
        <v>Discount</v>
      </c>
      <c r="J6" s="24"/>
      <c r="K6" s="24"/>
      <c r="L6" s="24"/>
      <c r="M6" s="24"/>
      <c r="N6" s="24"/>
      <c r="O6" s="24"/>
      <c r="P6" s="24"/>
      <c r="Q6" s="24"/>
    </row>
    <row r="7" spans="1:17" ht="17.25" x14ac:dyDescent="0.25">
      <c r="A7" s="14" t="s">
        <v>29</v>
      </c>
      <c r="B7" s="14">
        <v>45000</v>
      </c>
      <c r="C7" s="14" t="s">
        <v>48</v>
      </c>
      <c r="D7" s="13" t="str">
        <f t="shared" si="0"/>
        <v>Discount</v>
      </c>
      <c r="J7" s="24"/>
      <c r="K7" s="24"/>
      <c r="L7" s="24"/>
      <c r="M7" s="24"/>
      <c r="N7" s="24"/>
      <c r="O7" s="24"/>
      <c r="P7" s="24"/>
      <c r="Q7" s="24"/>
    </row>
    <row r="8" spans="1:17" ht="17.25" x14ac:dyDescent="0.25">
      <c r="A8" s="13" t="s">
        <v>30</v>
      </c>
      <c r="B8" s="13">
        <v>52000</v>
      </c>
      <c r="C8" s="14" t="s">
        <v>48</v>
      </c>
      <c r="D8" s="13" t="str">
        <f t="shared" si="0"/>
        <v>Discount</v>
      </c>
      <c r="J8" s="24"/>
      <c r="K8" s="24"/>
      <c r="L8" s="24"/>
      <c r="M8" s="24"/>
      <c r="N8" s="24"/>
      <c r="O8" s="24"/>
      <c r="P8" s="24"/>
      <c r="Q8" s="24"/>
    </row>
    <row r="9" spans="1:17" ht="17.25" x14ac:dyDescent="0.25">
      <c r="A9" s="14" t="s">
        <v>31</v>
      </c>
      <c r="B9" s="14">
        <v>30000</v>
      </c>
      <c r="C9" s="13" t="s">
        <v>51</v>
      </c>
      <c r="D9" s="13" t="str">
        <f t="shared" si="0"/>
        <v>Discount</v>
      </c>
    </row>
    <row r="10" spans="1:17" ht="17.25" x14ac:dyDescent="0.25">
      <c r="A10" s="7" t="s">
        <v>32</v>
      </c>
      <c r="B10" s="14">
        <v>32000</v>
      </c>
      <c r="C10" s="14" t="s">
        <v>48</v>
      </c>
      <c r="D10" s="13" t="str">
        <f t="shared" si="0"/>
        <v>Discount</v>
      </c>
    </row>
    <row r="11" spans="1:17" ht="17.25" x14ac:dyDescent="0.25">
      <c r="A11" s="8" t="s">
        <v>33</v>
      </c>
      <c r="B11" s="14">
        <v>45000</v>
      </c>
      <c r="C11" s="13" t="s">
        <v>48</v>
      </c>
      <c r="D11" s="13" t="str">
        <f t="shared" si="0"/>
        <v>Discount</v>
      </c>
    </row>
    <row r="12" spans="1:17" ht="17.25" x14ac:dyDescent="0.25">
      <c r="A12" s="7" t="s">
        <v>34</v>
      </c>
      <c r="B12" s="14">
        <v>38000</v>
      </c>
      <c r="C12" s="14" t="s">
        <v>48</v>
      </c>
      <c r="D12" s="13" t="str">
        <f t="shared" si="0"/>
        <v>Discount</v>
      </c>
    </row>
    <row r="13" spans="1:17" ht="17.25" x14ac:dyDescent="0.25">
      <c r="A13" s="8" t="s">
        <v>35</v>
      </c>
      <c r="B13" s="13">
        <v>4000</v>
      </c>
      <c r="C13" s="13" t="s">
        <v>51</v>
      </c>
      <c r="D13" s="13" t="str">
        <f t="shared" si="0"/>
        <v>ND</v>
      </c>
    </row>
    <row r="14" spans="1:17" ht="17.25" x14ac:dyDescent="0.25">
      <c r="A14" s="7" t="s">
        <v>36</v>
      </c>
      <c r="B14" s="14">
        <v>30000</v>
      </c>
      <c r="C14" s="14" t="s">
        <v>48</v>
      </c>
      <c r="D14" s="13" t="str">
        <f t="shared" si="0"/>
        <v>Discount</v>
      </c>
    </row>
    <row r="15" spans="1:17" ht="17.25" x14ac:dyDescent="0.25">
      <c r="A15" s="7" t="s">
        <v>3</v>
      </c>
      <c r="B15" s="14">
        <v>36617</v>
      </c>
      <c r="C15" s="13" t="s">
        <v>51</v>
      </c>
      <c r="D15" s="13" t="str">
        <f t="shared" si="0"/>
        <v>Discount</v>
      </c>
    </row>
    <row r="16" spans="1:17" ht="17.25" x14ac:dyDescent="0.25">
      <c r="A16" s="8" t="s">
        <v>4</v>
      </c>
      <c r="B16" s="14">
        <v>37464</v>
      </c>
      <c r="C16" s="14" t="s">
        <v>51</v>
      </c>
      <c r="D16" s="13" t="str">
        <f t="shared" si="0"/>
        <v>Discount</v>
      </c>
    </row>
    <row r="17" spans="1:4" ht="17.25" x14ac:dyDescent="0.25">
      <c r="A17" s="7" t="s">
        <v>5</v>
      </c>
      <c r="B17" s="14">
        <v>6000</v>
      </c>
      <c r="C17" s="13" t="s">
        <v>48</v>
      </c>
      <c r="D17" s="13" t="str">
        <f t="shared" si="0"/>
        <v>Discount</v>
      </c>
    </row>
    <row r="18" spans="1:4" ht="17.25" x14ac:dyDescent="0.25">
      <c r="A18" s="8" t="s">
        <v>6</v>
      </c>
      <c r="B18" s="14">
        <v>32281</v>
      </c>
      <c r="C18" s="14" t="s">
        <v>51</v>
      </c>
      <c r="D18" s="13" t="str">
        <f t="shared" si="0"/>
        <v>Discount</v>
      </c>
    </row>
    <row r="19" spans="1:4" ht="17.25" x14ac:dyDescent="0.25">
      <c r="A19" s="7" t="s">
        <v>7</v>
      </c>
      <c r="B19" s="14">
        <v>39265</v>
      </c>
      <c r="C19" s="13" t="s">
        <v>51</v>
      </c>
      <c r="D19" s="13" t="str">
        <f t="shared" si="0"/>
        <v>Discount</v>
      </c>
    </row>
    <row r="20" spans="1:4" ht="17.25" x14ac:dyDescent="0.25">
      <c r="A20" s="8" t="s">
        <v>35</v>
      </c>
      <c r="B20" s="14">
        <v>37915</v>
      </c>
      <c r="C20" s="14" t="s">
        <v>48</v>
      </c>
      <c r="D20" s="13" t="str">
        <f t="shared" si="0"/>
        <v>Discount</v>
      </c>
    </row>
    <row r="21" spans="1:4" ht="17.25" x14ac:dyDescent="0.25">
      <c r="A21" s="7" t="s">
        <v>36</v>
      </c>
      <c r="B21" s="14">
        <v>34926</v>
      </c>
      <c r="C21" s="14" t="s">
        <v>48</v>
      </c>
      <c r="D21" s="13" t="str">
        <f t="shared" si="0"/>
        <v>Discount</v>
      </c>
    </row>
    <row r="22" spans="1:4" ht="17.25" x14ac:dyDescent="0.25">
      <c r="A22" s="7" t="s">
        <v>3</v>
      </c>
      <c r="B22" s="14">
        <v>1000</v>
      </c>
      <c r="C22" s="13" t="s">
        <v>51</v>
      </c>
      <c r="D22" s="13" t="str">
        <f t="shared" si="0"/>
        <v>ND</v>
      </c>
    </row>
    <row r="23" spans="1:4" ht="17.25" x14ac:dyDescent="0.25">
      <c r="A23" s="8" t="s">
        <v>4</v>
      </c>
      <c r="B23" s="14">
        <v>30797</v>
      </c>
      <c r="C23" s="14" t="s">
        <v>48</v>
      </c>
      <c r="D23" s="13" t="str">
        <f t="shared" si="0"/>
        <v>Discount</v>
      </c>
    </row>
  </sheetData>
  <mergeCells count="1">
    <mergeCell ref="J5:Q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5151-CCAE-49D4-B757-25649BD0B658}">
  <dimension ref="A1:O21"/>
  <sheetViews>
    <sheetView workbookViewId="0">
      <selection activeCell="D21" sqref="D2:D21"/>
    </sheetView>
  </sheetViews>
  <sheetFormatPr defaultRowHeight="15" x14ac:dyDescent="0.25"/>
  <cols>
    <col min="1" max="1" width="14.42578125" bestFit="1" customWidth="1"/>
    <col min="2" max="2" width="8.28515625" bestFit="1" customWidth="1"/>
    <col min="3" max="3" width="14.140625" bestFit="1" customWidth="1"/>
    <col min="4" max="4" width="14.5703125" bestFit="1" customWidth="1"/>
  </cols>
  <sheetData>
    <row r="1" spans="1:15" ht="17.25" x14ac:dyDescent="0.25">
      <c r="A1" s="12" t="s">
        <v>60</v>
      </c>
      <c r="B1" s="12" t="s">
        <v>26</v>
      </c>
      <c r="C1" s="12" t="s">
        <v>61</v>
      </c>
      <c r="D1" s="12" t="s">
        <v>62</v>
      </c>
    </row>
    <row r="2" spans="1:15" ht="17.25" x14ac:dyDescent="0.25">
      <c r="A2" s="13" t="s">
        <v>28</v>
      </c>
      <c r="B2" s="13">
        <v>35000</v>
      </c>
      <c r="C2" s="13">
        <v>720</v>
      </c>
      <c r="D2" s="13" t="str">
        <f>IF(OR(B2&gt;=40000,C2&gt;=700), "Pass", "fail")</f>
        <v>Pass</v>
      </c>
    </row>
    <row r="3" spans="1:15" ht="17.25" x14ac:dyDescent="0.25">
      <c r="A3" s="14" t="s">
        <v>29</v>
      </c>
      <c r="B3" s="14">
        <v>25000</v>
      </c>
      <c r="C3" s="14">
        <v>680</v>
      </c>
      <c r="D3" s="13" t="str">
        <f t="shared" ref="D3:D21" si="0">IF(OR(B3&gt;=40000,C3&gt;=700), "Pass", "fail")</f>
        <v>fail</v>
      </c>
    </row>
    <row r="4" spans="1:15" ht="17.25" x14ac:dyDescent="0.25">
      <c r="A4" s="13" t="s">
        <v>30</v>
      </c>
      <c r="B4" s="13">
        <v>50000</v>
      </c>
      <c r="C4" s="13">
        <v>650</v>
      </c>
      <c r="D4" s="13" t="str">
        <f t="shared" si="0"/>
        <v>Pass</v>
      </c>
    </row>
    <row r="5" spans="1:15" ht="17.25" x14ac:dyDescent="0.25">
      <c r="A5" s="14" t="s">
        <v>31</v>
      </c>
      <c r="B5" s="14">
        <v>20000</v>
      </c>
      <c r="C5" s="14">
        <v>600</v>
      </c>
      <c r="D5" s="13" t="str">
        <f t="shared" si="0"/>
        <v>fail</v>
      </c>
      <c r="J5" s="5" t="s">
        <v>63</v>
      </c>
      <c r="K5" s="5"/>
      <c r="L5" s="5"/>
      <c r="M5" s="5"/>
      <c r="N5" s="5"/>
      <c r="O5" s="5"/>
    </row>
    <row r="6" spans="1:15" ht="17.25" x14ac:dyDescent="0.25">
      <c r="A6" s="13" t="s">
        <v>3</v>
      </c>
      <c r="B6" s="13">
        <v>9000</v>
      </c>
      <c r="C6" s="14">
        <v>692</v>
      </c>
      <c r="D6" s="13" t="str">
        <f t="shared" si="0"/>
        <v>fail</v>
      </c>
      <c r="J6" s="5"/>
      <c r="K6" s="5"/>
      <c r="L6" s="5"/>
      <c r="M6" s="5"/>
      <c r="N6" s="5"/>
      <c r="O6" s="5"/>
    </row>
    <row r="7" spans="1:15" ht="17.25" x14ac:dyDescent="0.25">
      <c r="A7" s="14" t="s">
        <v>58</v>
      </c>
      <c r="B7" s="14">
        <v>12000</v>
      </c>
      <c r="C7" s="14">
        <v>700</v>
      </c>
      <c r="D7" s="13" t="str">
        <f t="shared" si="0"/>
        <v>Pass</v>
      </c>
      <c r="J7" s="5"/>
      <c r="K7" s="5"/>
      <c r="L7" s="5"/>
      <c r="M7" s="5"/>
      <c r="N7" s="5"/>
      <c r="O7" s="5"/>
    </row>
    <row r="8" spans="1:15" ht="17.25" x14ac:dyDescent="0.25">
      <c r="A8" s="13" t="s">
        <v>50</v>
      </c>
      <c r="B8" s="13">
        <v>4000</v>
      </c>
      <c r="C8" s="14">
        <v>638</v>
      </c>
      <c r="D8" s="13" t="str">
        <f t="shared" si="0"/>
        <v>fail</v>
      </c>
    </row>
    <row r="9" spans="1:15" ht="17.25" x14ac:dyDescent="0.25">
      <c r="A9" s="14" t="s">
        <v>6</v>
      </c>
      <c r="B9" s="14">
        <v>3000</v>
      </c>
      <c r="C9" s="14">
        <v>825</v>
      </c>
      <c r="D9" s="13" t="str">
        <f t="shared" si="0"/>
        <v>Pass</v>
      </c>
    </row>
    <row r="10" spans="1:15" ht="17.25" x14ac:dyDescent="0.25">
      <c r="A10" s="13" t="s">
        <v>28</v>
      </c>
      <c r="B10" s="13">
        <v>28000</v>
      </c>
      <c r="C10" s="14">
        <v>658</v>
      </c>
      <c r="D10" s="13" t="str">
        <f t="shared" si="0"/>
        <v>fail</v>
      </c>
    </row>
    <row r="11" spans="1:15" ht="17.25" x14ac:dyDescent="0.25">
      <c r="A11" s="14" t="s">
        <v>29</v>
      </c>
      <c r="B11" s="14">
        <v>45000</v>
      </c>
      <c r="C11" s="14">
        <v>836</v>
      </c>
      <c r="D11" s="13" t="str">
        <f t="shared" si="0"/>
        <v>Pass</v>
      </c>
    </row>
    <row r="12" spans="1:15" ht="17.25" x14ac:dyDescent="0.25">
      <c r="A12" s="13" t="s">
        <v>30</v>
      </c>
      <c r="B12" s="13">
        <v>52000</v>
      </c>
      <c r="C12" s="14">
        <v>625</v>
      </c>
      <c r="D12" s="13" t="str">
        <f t="shared" si="0"/>
        <v>Pass</v>
      </c>
    </row>
    <row r="13" spans="1:15" ht="17.25" x14ac:dyDescent="0.25">
      <c r="A13" s="14" t="s">
        <v>31</v>
      </c>
      <c r="B13" s="14">
        <v>30000</v>
      </c>
      <c r="C13" s="14">
        <v>764</v>
      </c>
      <c r="D13" s="13" t="str">
        <f t="shared" si="0"/>
        <v>Pass</v>
      </c>
    </row>
    <row r="14" spans="1:15" ht="17.25" x14ac:dyDescent="0.25">
      <c r="A14" s="7" t="s">
        <v>32</v>
      </c>
      <c r="B14" s="14">
        <v>32000</v>
      </c>
      <c r="C14" s="14">
        <v>694</v>
      </c>
      <c r="D14" s="13" t="str">
        <f t="shared" si="0"/>
        <v>fail</v>
      </c>
    </row>
    <row r="15" spans="1:15" ht="17.25" x14ac:dyDescent="0.25">
      <c r="A15" s="8" t="s">
        <v>33</v>
      </c>
      <c r="B15" s="14">
        <v>45000</v>
      </c>
      <c r="C15" s="14">
        <v>742</v>
      </c>
      <c r="D15" s="13" t="str">
        <f t="shared" si="0"/>
        <v>Pass</v>
      </c>
    </row>
    <row r="16" spans="1:15" ht="17.25" x14ac:dyDescent="0.25">
      <c r="A16" s="7" t="s">
        <v>34</v>
      </c>
      <c r="B16" s="14">
        <v>38000</v>
      </c>
      <c r="C16" s="14">
        <v>583</v>
      </c>
      <c r="D16" s="13" t="str">
        <f t="shared" si="0"/>
        <v>fail</v>
      </c>
    </row>
    <row r="17" spans="1:4" ht="17.25" x14ac:dyDescent="0.25">
      <c r="A17" s="8" t="s">
        <v>35</v>
      </c>
      <c r="B17" s="13">
        <v>4000</v>
      </c>
      <c r="C17" s="14">
        <v>798</v>
      </c>
      <c r="D17" s="13" t="str">
        <f t="shared" si="0"/>
        <v>Pass</v>
      </c>
    </row>
    <row r="18" spans="1:4" ht="17.25" x14ac:dyDescent="0.25">
      <c r="A18" s="7" t="s">
        <v>36</v>
      </c>
      <c r="B18" s="14">
        <v>30000</v>
      </c>
      <c r="C18" s="14">
        <v>668</v>
      </c>
      <c r="D18" s="13" t="str">
        <f t="shared" si="0"/>
        <v>fail</v>
      </c>
    </row>
    <row r="19" spans="1:4" ht="17.25" x14ac:dyDescent="0.25">
      <c r="A19" s="7" t="s">
        <v>3</v>
      </c>
      <c r="B19" s="14">
        <v>36617</v>
      </c>
      <c r="C19" s="14">
        <v>634</v>
      </c>
      <c r="D19" s="13" t="str">
        <f t="shared" si="0"/>
        <v>fail</v>
      </c>
    </row>
    <row r="20" spans="1:4" ht="17.25" x14ac:dyDescent="0.25">
      <c r="A20" s="8" t="s">
        <v>4</v>
      </c>
      <c r="B20" s="14">
        <v>37464</v>
      </c>
      <c r="C20" s="14">
        <v>643</v>
      </c>
      <c r="D20" s="13" t="str">
        <f t="shared" si="0"/>
        <v>fail</v>
      </c>
    </row>
    <row r="21" spans="1:4" ht="17.25" x14ac:dyDescent="0.25">
      <c r="A21" s="7" t="s">
        <v>5</v>
      </c>
      <c r="B21" s="14">
        <v>6000</v>
      </c>
      <c r="C21" s="14">
        <v>835</v>
      </c>
      <c r="D21" s="13" t="str">
        <f t="shared" si="0"/>
        <v>Pass</v>
      </c>
    </row>
  </sheetData>
  <mergeCells count="1">
    <mergeCell ref="J5:O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62F7-F65C-4EC4-AFAC-C44D8075F410}">
  <dimension ref="A1:Q14"/>
  <sheetViews>
    <sheetView workbookViewId="0">
      <selection activeCell="C2" sqref="C2"/>
    </sheetView>
  </sheetViews>
  <sheetFormatPr defaultRowHeight="15" x14ac:dyDescent="0.25"/>
  <cols>
    <col min="1" max="1" width="14.42578125" bestFit="1" customWidth="1"/>
  </cols>
  <sheetData>
    <row r="1" spans="1:17" ht="17.25" x14ac:dyDescent="0.25">
      <c r="A1" s="12" t="s">
        <v>40</v>
      </c>
      <c r="B1" s="12" t="s">
        <v>64</v>
      </c>
      <c r="C1" s="12" t="s">
        <v>65</v>
      </c>
    </row>
    <row r="2" spans="1:17" ht="17.25" x14ac:dyDescent="0.25">
      <c r="A2" s="13" t="s">
        <v>47</v>
      </c>
      <c r="B2" s="13" t="b">
        <v>1</v>
      </c>
      <c r="C2" s="13" t="str">
        <f>IF(NOT(B2),"A","P")</f>
        <v>P</v>
      </c>
    </row>
    <row r="3" spans="1:17" ht="17.25" x14ac:dyDescent="0.25">
      <c r="A3" s="14" t="s">
        <v>49</v>
      </c>
      <c r="B3" s="14" t="b">
        <v>0</v>
      </c>
      <c r="C3" s="13" t="str">
        <f t="shared" ref="C3:C14" si="0">IF(NOT(B3),"A","P")</f>
        <v>A</v>
      </c>
    </row>
    <row r="4" spans="1:17" ht="17.25" x14ac:dyDescent="0.25">
      <c r="A4" s="13" t="s">
        <v>50</v>
      </c>
      <c r="B4" s="13" t="b">
        <v>1</v>
      </c>
      <c r="C4" s="13" t="str">
        <f t="shared" si="0"/>
        <v>P</v>
      </c>
    </row>
    <row r="5" spans="1:17" ht="17.25" x14ac:dyDescent="0.25">
      <c r="A5" s="14" t="s">
        <v>52</v>
      </c>
      <c r="B5" s="14" t="b">
        <v>0</v>
      </c>
      <c r="C5" s="13" t="str">
        <f t="shared" si="0"/>
        <v>A</v>
      </c>
      <c r="L5" s="25" t="s">
        <v>66</v>
      </c>
      <c r="M5" s="26"/>
      <c r="N5" s="26"/>
      <c r="O5" s="26"/>
      <c r="P5" s="26"/>
      <c r="Q5" s="26"/>
    </row>
    <row r="6" spans="1:17" ht="17.25" x14ac:dyDescent="0.25">
      <c r="A6" s="13" t="s">
        <v>3</v>
      </c>
      <c r="B6" s="13" t="b">
        <v>1</v>
      </c>
      <c r="C6" s="13" t="str">
        <f t="shared" si="0"/>
        <v>P</v>
      </c>
      <c r="L6" s="26"/>
      <c r="M6" s="26"/>
      <c r="N6" s="26"/>
      <c r="O6" s="26"/>
      <c r="P6" s="26"/>
      <c r="Q6" s="26"/>
    </row>
    <row r="7" spans="1:17" ht="17.25" x14ac:dyDescent="0.25">
      <c r="A7" s="14" t="s">
        <v>58</v>
      </c>
      <c r="B7" s="14" t="b">
        <v>0</v>
      </c>
      <c r="C7" s="13" t="str">
        <f t="shared" si="0"/>
        <v>A</v>
      </c>
      <c r="L7" s="26"/>
      <c r="M7" s="26"/>
      <c r="N7" s="26"/>
      <c r="O7" s="26"/>
      <c r="P7" s="26"/>
      <c r="Q7" s="26"/>
    </row>
    <row r="8" spans="1:17" ht="17.25" x14ac:dyDescent="0.25">
      <c r="A8" s="13" t="s">
        <v>50</v>
      </c>
      <c r="B8" s="13" t="b">
        <v>1</v>
      </c>
      <c r="C8" s="13" t="str">
        <f t="shared" si="0"/>
        <v>P</v>
      </c>
      <c r="L8" s="26"/>
      <c r="M8" s="26"/>
      <c r="N8" s="26"/>
      <c r="O8" s="26"/>
      <c r="P8" s="26"/>
      <c r="Q8" s="26"/>
    </row>
    <row r="9" spans="1:17" ht="17.25" x14ac:dyDescent="0.25">
      <c r="A9" s="14" t="s">
        <v>6</v>
      </c>
      <c r="B9" s="14" t="b">
        <v>0</v>
      </c>
      <c r="C9" s="13" t="str">
        <f t="shared" si="0"/>
        <v>A</v>
      </c>
      <c r="L9" s="26"/>
      <c r="M9" s="26"/>
      <c r="N9" s="26"/>
      <c r="O9" s="26"/>
      <c r="P9" s="26"/>
      <c r="Q9" s="26"/>
    </row>
    <row r="10" spans="1:17" ht="17.25" x14ac:dyDescent="0.25">
      <c r="A10" s="13" t="s">
        <v>28</v>
      </c>
      <c r="B10" s="13" t="b">
        <v>1</v>
      </c>
      <c r="C10" s="13" t="str">
        <f t="shared" si="0"/>
        <v>P</v>
      </c>
    </row>
    <row r="11" spans="1:17" ht="17.25" x14ac:dyDescent="0.25">
      <c r="A11" s="14" t="s">
        <v>29</v>
      </c>
      <c r="B11" s="14" t="b">
        <v>0</v>
      </c>
      <c r="C11" s="13" t="str">
        <f t="shared" si="0"/>
        <v>A</v>
      </c>
    </row>
    <row r="12" spans="1:17" ht="17.25" x14ac:dyDescent="0.25">
      <c r="A12" s="13" t="s">
        <v>30</v>
      </c>
      <c r="B12" s="13" t="b">
        <v>1</v>
      </c>
      <c r="C12" s="13" t="str">
        <f t="shared" si="0"/>
        <v>P</v>
      </c>
    </row>
    <row r="13" spans="1:17" ht="17.25" x14ac:dyDescent="0.25">
      <c r="A13" s="14" t="s">
        <v>31</v>
      </c>
      <c r="B13" s="14" t="b">
        <v>0</v>
      </c>
      <c r="C13" s="13" t="str">
        <f t="shared" si="0"/>
        <v>A</v>
      </c>
    </row>
    <row r="14" spans="1:17" ht="17.25" x14ac:dyDescent="0.25">
      <c r="A14" s="7" t="s">
        <v>32</v>
      </c>
      <c r="B14" s="14" t="b">
        <v>0</v>
      </c>
      <c r="C14" s="13" t="str">
        <f t="shared" si="0"/>
        <v>A</v>
      </c>
    </row>
  </sheetData>
  <mergeCells count="1">
    <mergeCell ref="L5:Q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6B15-4268-49EB-BAC6-A277866682C7}">
  <dimension ref="A1:P20"/>
  <sheetViews>
    <sheetView workbookViewId="0">
      <selection activeCell="F11" sqref="F11"/>
    </sheetView>
  </sheetViews>
  <sheetFormatPr defaultRowHeight="15" x14ac:dyDescent="0.25"/>
  <cols>
    <col min="1" max="2" width="12.5703125" bestFit="1" customWidth="1"/>
    <col min="3" max="3" width="8.28515625" bestFit="1" customWidth="1"/>
  </cols>
  <sheetData>
    <row r="1" spans="1:16" ht="17.25" x14ac:dyDescent="0.25">
      <c r="A1" s="12" t="s">
        <v>67</v>
      </c>
      <c r="B1" s="12" t="s">
        <v>68</v>
      </c>
      <c r="C1" s="12" t="s">
        <v>24</v>
      </c>
    </row>
    <row r="2" spans="1:16" ht="17.25" x14ac:dyDescent="0.25">
      <c r="A2" s="13">
        <v>10</v>
      </c>
      <c r="B2" s="13">
        <v>2</v>
      </c>
      <c r="C2" s="13">
        <f>IFERROR(A2/B2, "invalid")</f>
        <v>5</v>
      </c>
    </row>
    <row r="3" spans="1:16" ht="17.25" x14ac:dyDescent="0.25">
      <c r="A3" s="14">
        <v>15</v>
      </c>
      <c r="B3" s="14">
        <v>0</v>
      </c>
      <c r="C3" s="13" t="str">
        <f t="shared" ref="C3:C20" si="0">IFERROR(A3/B3, "invalid")</f>
        <v>invalid</v>
      </c>
    </row>
    <row r="4" spans="1:16" ht="17.25" x14ac:dyDescent="0.25">
      <c r="A4" s="13">
        <v>20</v>
      </c>
      <c r="B4" s="13">
        <v>5</v>
      </c>
      <c r="C4" s="13">
        <f t="shared" si="0"/>
        <v>4</v>
      </c>
    </row>
    <row r="5" spans="1:16" ht="17.25" x14ac:dyDescent="0.25">
      <c r="A5" s="14">
        <v>8</v>
      </c>
      <c r="B5" s="14">
        <v>0</v>
      </c>
      <c r="C5" s="13" t="str">
        <f t="shared" si="0"/>
        <v>invalid</v>
      </c>
      <c r="J5" s="15" t="s">
        <v>69</v>
      </c>
      <c r="K5" s="16"/>
      <c r="L5" s="16"/>
      <c r="M5" s="16"/>
      <c r="N5" s="16"/>
      <c r="O5" s="16"/>
      <c r="P5" s="16"/>
    </row>
    <row r="6" spans="1:16" ht="17.25" x14ac:dyDescent="0.25">
      <c r="A6" s="13">
        <v>25</v>
      </c>
      <c r="B6" s="13">
        <v>2</v>
      </c>
      <c r="C6" s="13">
        <f t="shared" si="0"/>
        <v>12.5</v>
      </c>
      <c r="J6" s="16"/>
      <c r="K6" s="16"/>
      <c r="L6" s="16"/>
      <c r="M6" s="16"/>
      <c r="N6" s="16"/>
      <c r="O6" s="16"/>
      <c r="P6" s="16"/>
    </row>
    <row r="7" spans="1:16" ht="17.25" x14ac:dyDescent="0.25">
      <c r="A7" s="13">
        <v>20</v>
      </c>
      <c r="B7" s="13">
        <v>1</v>
      </c>
      <c r="C7" s="13">
        <f t="shared" si="0"/>
        <v>20</v>
      </c>
      <c r="J7" s="16"/>
      <c r="K7" s="16"/>
      <c r="L7" s="16"/>
      <c r="M7" s="16"/>
      <c r="N7" s="16"/>
      <c r="O7" s="16"/>
      <c r="P7" s="16"/>
    </row>
    <row r="8" spans="1:16" ht="17.25" x14ac:dyDescent="0.25">
      <c r="A8" s="13">
        <v>30</v>
      </c>
      <c r="B8" s="13">
        <v>5</v>
      </c>
      <c r="C8" s="13">
        <f t="shared" si="0"/>
        <v>6</v>
      </c>
      <c r="J8" s="16"/>
      <c r="K8" s="16"/>
      <c r="L8" s="16"/>
      <c r="M8" s="16"/>
      <c r="N8" s="16"/>
      <c r="O8" s="16"/>
      <c r="P8" s="16"/>
    </row>
    <row r="9" spans="1:16" ht="17.25" x14ac:dyDescent="0.25">
      <c r="A9" s="13">
        <v>22</v>
      </c>
      <c r="B9" s="13">
        <v>0</v>
      </c>
      <c r="C9" s="13" t="str">
        <f t="shared" si="0"/>
        <v>invalid</v>
      </c>
      <c r="J9" s="16"/>
      <c r="K9" s="16"/>
      <c r="L9" s="16"/>
      <c r="M9" s="16"/>
      <c r="N9" s="16"/>
      <c r="O9" s="16"/>
      <c r="P9" s="16"/>
    </row>
    <row r="10" spans="1:16" ht="17.25" x14ac:dyDescent="0.25">
      <c r="A10" s="13">
        <v>36</v>
      </c>
      <c r="B10" s="13">
        <v>4</v>
      </c>
      <c r="C10" s="13">
        <f t="shared" si="0"/>
        <v>9</v>
      </c>
      <c r="J10" s="16"/>
      <c r="K10" s="16"/>
      <c r="L10" s="16"/>
      <c r="M10" s="16"/>
      <c r="N10" s="16"/>
      <c r="O10" s="16"/>
      <c r="P10" s="16"/>
    </row>
    <row r="11" spans="1:16" ht="17.25" x14ac:dyDescent="0.25">
      <c r="A11" s="13">
        <v>41</v>
      </c>
      <c r="B11" s="13">
        <v>0</v>
      </c>
      <c r="C11" s="13" t="str">
        <f t="shared" si="0"/>
        <v>invalid</v>
      </c>
      <c r="J11" s="16"/>
      <c r="K11" s="16"/>
      <c r="L11" s="16"/>
      <c r="M11" s="16"/>
      <c r="N11" s="16"/>
      <c r="O11" s="16"/>
      <c r="P11" s="16"/>
    </row>
    <row r="12" spans="1:16" ht="17.25" x14ac:dyDescent="0.25">
      <c r="A12" s="13">
        <v>42</v>
      </c>
      <c r="B12" s="13">
        <v>0</v>
      </c>
      <c r="C12" s="13" t="str">
        <f t="shared" si="0"/>
        <v>invalid</v>
      </c>
    </row>
    <row r="13" spans="1:16" ht="17.25" x14ac:dyDescent="0.25">
      <c r="A13" s="13">
        <v>29</v>
      </c>
      <c r="B13" s="13">
        <v>1</v>
      </c>
      <c r="C13" s="13">
        <f t="shared" si="0"/>
        <v>29</v>
      </c>
    </row>
    <row r="14" spans="1:16" ht="17.25" x14ac:dyDescent="0.25">
      <c r="A14" s="13">
        <v>42</v>
      </c>
      <c r="B14" s="13">
        <v>0</v>
      </c>
      <c r="C14" s="13" t="str">
        <f t="shared" si="0"/>
        <v>invalid</v>
      </c>
    </row>
    <row r="15" spans="1:16" ht="17.25" x14ac:dyDescent="0.25">
      <c r="A15" s="13">
        <v>23</v>
      </c>
      <c r="B15" s="13">
        <v>1</v>
      </c>
      <c r="C15" s="13">
        <f t="shared" si="0"/>
        <v>23</v>
      </c>
    </row>
    <row r="16" spans="1:16" ht="17.25" x14ac:dyDescent="0.25">
      <c r="A16" s="13">
        <v>21</v>
      </c>
      <c r="B16" s="13">
        <v>3</v>
      </c>
      <c r="C16" s="13">
        <f t="shared" si="0"/>
        <v>7</v>
      </c>
    </row>
    <row r="17" spans="1:3" ht="17.25" x14ac:dyDescent="0.25">
      <c r="A17" s="13">
        <v>21</v>
      </c>
      <c r="B17" s="13">
        <v>2</v>
      </c>
      <c r="C17" s="13">
        <f t="shared" si="0"/>
        <v>10.5</v>
      </c>
    </row>
    <row r="18" spans="1:3" ht="17.25" x14ac:dyDescent="0.25">
      <c r="A18" s="13">
        <v>43</v>
      </c>
      <c r="B18" s="13">
        <v>4</v>
      </c>
      <c r="C18" s="13">
        <f t="shared" si="0"/>
        <v>10.75</v>
      </c>
    </row>
    <row r="19" spans="1:3" ht="17.25" x14ac:dyDescent="0.25">
      <c r="A19" s="13">
        <v>30</v>
      </c>
      <c r="B19" s="13">
        <v>0</v>
      </c>
      <c r="C19" s="13" t="str">
        <f t="shared" si="0"/>
        <v>invalid</v>
      </c>
    </row>
    <row r="20" spans="1:3" ht="17.25" x14ac:dyDescent="0.25">
      <c r="A20" s="13">
        <v>36</v>
      </c>
      <c r="B20" s="13">
        <v>1</v>
      </c>
      <c r="C20" s="13">
        <f t="shared" si="0"/>
        <v>36</v>
      </c>
    </row>
  </sheetData>
  <mergeCells count="1">
    <mergeCell ref="J5:P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BC41-9CA1-4978-ACBB-25874FC4F4EC}">
  <dimension ref="A1:S19"/>
  <sheetViews>
    <sheetView tabSelected="1" zoomScaleNormal="100" workbookViewId="0">
      <selection activeCell="D2" sqref="D2"/>
    </sheetView>
  </sheetViews>
  <sheetFormatPr defaultRowHeight="15" x14ac:dyDescent="0.25"/>
  <cols>
    <col min="1" max="1" width="19.7109375" bestFit="1" customWidth="1"/>
    <col min="2" max="2" width="20.7109375" bestFit="1" customWidth="1"/>
    <col min="3" max="3" width="16.7109375" bestFit="1" customWidth="1"/>
    <col min="4" max="4" width="20.85546875" bestFit="1" customWidth="1"/>
  </cols>
  <sheetData>
    <row r="1" spans="1:19" ht="18" thickBot="1" x14ac:dyDescent="0.3">
      <c r="A1" s="9" t="s">
        <v>25</v>
      </c>
      <c r="B1" s="9" t="s">
        <v>70</v>
      </c>
      <c r="C1" s="9" t="s">
        <v>45</v>
      </c>
      <c r="D1" s="9" t="s">
        <v>71</v>
      </c>
    </row>
    <row r="2" spans="1:19" ht="18" thickBot="1" x14ac:dyDescent="0.3">
      <c r="A2" s="10" t="s">
        <v>72</v>
      </c>
      <c r="B2" s="10">
        <v>45</v>
      </c>
      <c r="C2" s="10">
        <v>92</v>
      </c>
      <c r="D2" s="10" t="str">
        <f>IF(AND(C2&gt;=90,B2&gt;=40), "Excllent",IF(C2&gt;=80, "Good","Need Improvement"))</f>
        <v>Excllent</v>
      </c>
    </row>
    <row r="3" spans="1:19" ht="18" thickBot="1" x14ac:dyDescent="0.3">
      <c r="A3" s="11" t="s">
        <v>73</v>
      </c>
      <c r="B3" s="11">
        <v>38</v>
      </c>
      <c r="C3" s="11">
        <v>85</v>
      </c>
      <c r="D3" s="10" t="str">
        <f t="shared" ref="D3:D19" si="0">IF(AND(C3&gt;=90,B3&gt;=40), "Excllent",IF(C3&gt;=80, "Good","Need Improvement"))</f>
        <v>Good</v>
      </c>
    </row>
    <row r="4" spans="1:19" ht="18" thickBot="1" x14ac:dyDescent="0.3">
      <c r="A4" s="10" t="s">
        <v>74</v>
      </c>
      <c r="B4" s="10">
        <v>50</v>
      </c>
      <c r="C4" s="10">
        <v>95</v>
      </c>
      <c r="D4" s="10" t="str">
        <f t="shared" si="0"/>
        <v>Excllent</v>
      </c>
    </row>
    <row r="5" spans="1:19" ht="18" thickBot="1" x14ac:dyDescent="0.3">
      <c r="A5" s="10" t="s">
        <v>75</v>
      </c>
      <c r="B5" s="10">
        <v>30</v>
      </c>
      <c r="C5" s="10">
        <v>70</v>
      </c>
      <c r="D5" s="10" t="str">
        <f t="shared" si="0"/>
        <v>Need Improvement</v>
      </c>
      <c r="J5" s="27" t="s">
        <v>76</v>
      </c>
      <c r="K5" s="28"/>
      <c r="L5" s="28"/>
      <c r="M5" s="28"/>
      <c r="N5" s="28"/>
      <c r="O5" s="28"/>
      <c r="P5" s="28"/>
      <c r="Q5" s="28"/>
      <c r="R5" s="28"/>
      <c r="S5" s="28"/>
    </row>
    <row r="6" spans="1:19" ht="18" thickBot="1" x14ac:dyDescent="0.3">
      <c r="A6" s="10" t="s">
        <v>47</v>
      </c>
      <c r="B6" s="10">
        <v>53</v>
      </c>
      <c r="C6" s="10">
        <v>85</v>
      </c>
      <c r="D6" s="10" t="str">
        <f t="shared" si="0"/>
        <v>Good</v>
      </c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19" ht="18" thickBot="1" x14ac:dyDescent="0.3">
      <c r="A7" s="10" t="s">
        <v>49</v>
      </c>
      <c r="B7" s="10">
        <v>79</v>
      </c>
      <c r="C7" s="10">
        <v>72</v>
      </c>
      <c r="D7" s="10" t="str">
        <f t="shared" si="0"/>
        <v>Need Improvement</v>
      </c>
      <c r="J7" s="28"/>
      <c r="K7" s="28"/>
      <c r="L7" s="28"/>
      <c r="M7" s="28"/>
      <c r="N7" s="28"/>
      <c r="O7" s="28"/>
      <c r="P7" s="28"/>
      <c r="Q7" s="28"/>
      <c r="R7" s="28"/>
      <c r="S7" s="28"/>
    </row>
    <row r="8" spans="1:19" ht="18" thickBot="1" x14ac:dyDescent="0.3">
      <c r="A8" s="10" t="s">
        <v>50</v>
      </c>
      <c r="B8" s="10">
        <v>70</v>
      </c>
      <c r="C8" s="10">
        <v>90</v>
      </c>
      <c r="D8" s="10" t="str">
        <f t="shared" si="0"/>
        <v>Excllent</v>
      </c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19" ht="18" thickBot="1" x14ac:dyDescent="0.3">
      <c r="A9" s="10" t="s">
        <v>52</v>
      </c>
      <c r="B9" s="10">
        <v>75</v>
      </c>
      <c r="C9" s="10">
        <v>80</v>
      </c>
      <c r="D9" s="10" t="str">
        <f t="shared" si="0"/>
        <v>Good</v>
      </c>
      <c r="J9" s="28"/>
      <c r="K9" s="28"/>
      <c r="L9" s="28"/>
      <c r="M9" s="28"/>
      <c r="N9" s="28"/>
      <c r="O9" s="28"/>
      <c r="P9" s="28"/>
      <c r="Q9" s="28"/>
      <c r="R9" s="28"/>
      <c r="S9" s="28"/>
    </row>
    <row r="10" spans="1:19" ht="18" thickBot="1" x14ac:dyDescent="0.3">
      <c r="A10" s="10" t="s">
        <v>4</v>
      </c>
      <c r="B10" s="10">
        <v>57</v>
      </c>
      <c r="C10" s="10">
        <v>65</v>
      </c>
      <c r="D10" s="10" t="str">
        <f t="shared" si="0"/>
        <v>Need Improvement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spans="1:19" ht="18" thickBot="1" x14ac:dyDescent="0.3">
      <c r="A11" s="10" t="s">
        <v>5</v>
      </c>
      <c r="B11" s="10">
        <v>47</v>
      </c>
      <c r="C11" s="10">
        <v>90</v>
      </c>
      <c r="D11" s="10" t="str">
        <f t="shared" si="0"/>
        <v>Excllent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19" ht="18" thickBot="1" x14ac:dyDescent="0.3">
      <c r="A12" s="10" t="s">
        <v>6</v>
      </c>
      <c r="B12" s="10">
        <v>45</v>
      </c>
      <c r="C12" s="10">
        <v>35</v>
      </c>
      <c r="D12" s="10" t="str">
        <f t="shared" si="0"/>
        <v>Need Improvement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</row>
    <row r="13" spans="1:19" ht="18" thickBot="1" x14ac:dyDescent="0.3">
      <c r="A13" s="10" t="s">
        <v>7</v>
      </c>
      <c r="B13" s="10">
        <v>48</v>
      </c>
      <c r="C13" s="10">
        <v>55</v>
      </c>
      <c r="D13" s="10" t="str">
        <f t="shared" si="0"/>
        <v>Need Improvement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</row>
    <row r="14" spans="1:19" ht="18" thickBot="1" x14ac:dyDescent="0.3">
      <c r="A14" s="10" t="s">
        <v>8</v>
      </c>
      <c r="B14" s="10">
        <v>79</v>
      </c>
      <c r="C14" s="10">
        <v>72</v>
      </c>
      <c r="D14" s="10" t="str">
        <f t="shared" si="0"/>
        <v>Need Improvement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</row>
    <row r="15" spans="1:19" ht="18" thickBot="1" x14ac:dyDescent="0.3">
      <c r="A15" s="10" t="s">
        <v>9</v>
      </c>
      <c r="B15" s="10">
        <v>50</v>
      </c>
      <c r="C15" s="10">
        <v>38</v>
      </c>
      <c r="D15" s="10" t="str">
        <f t="shared" si="0"/>
        <v>Need Improvement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</row>
    <row r="16" spans="1:19" ht="18" thickBot="1" x14ac:dyDescent="0.3">
      <c r="A16" s="10" t="s">
        <v>10</v>
      </c>
      <c r="B16" s="10">
        <v>49</v>
      </c>
      <c r="C16" s="10">
        <v>58</v>
      </c>
      <c r="D16" s="10" t="str">
        <f t="shared" si="0"/>
        <v>Need Improvement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</row>
    <row r="17" spans="1:4" ht="18" thickBot="1" x14ac:dyDescent="0.3">
      <c r="A17" s="10" t="s">
        <v>11</v>
      </c>
      <c r="B17" s="10">
        <v>67</v>
      </c>
      <c r="C17" s="10">
        <v>82</v>
      </c>
      <c r="D17" s="10" t="str">
        <f t="shared" si="0"/>
        <v>Good</v>
      </c>
    </row>
    <row r="18" spans="1:4" ht="18" thickBot="1" x14ac:dyDescent="0.3">
      <c r="A18" s="10" t="s">
        <v>12</v>
      </c>
      <c r="B18" s="10">
        <v>58</v>
      </c>
      <c r="C18" s="10">
        <v>45</v>
      </c>
      <c r="D18" s="10" t="str">
        <f t="shared" si="0"/>
        <v>Need Improvement</v>
      </c>
    </row>
    <row r="19" spans="1:4" ht="18" thickBot="1" x14ac:dyDescent="0.3">
      <c r="A19" s="10" t="s">
        <v>13</v>
      </c>
      <c r="B19" s="10">
        <v>43</v>
      </c>
      <c r="C19" s="10">
        <v>92</v>
      </c>
      <c r="D19" s="10" t="str">
        <f t="shared" si="0"/>
        <v>Excllent</v>
      </c>
    </row>
  </sheetData>
  <mergeCells count="1">
    <mergeCell ref="J5:S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ASDC43</dc:creator>
  <cp:lastModifiedBy>ASDC43</cp:lastModifiedBy>
  <dcterms:created xsi:type="dcterms:W3CDTF">2026-01-25T07:23:14Z</dcterms:created>
  <dcterms:modified xsi:type="dcterms:W3CDTF">2026-01-25T08:11:12Z</dcterms:modified>
</cp:coreProperties>
</file>