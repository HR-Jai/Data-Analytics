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506d0835fdee9f/Desktop/HR-Jai/Data-Analytics/"/>
    </mc:Choice>
  </mc:AlternateContent>
  <xr:revisionPtr revIDLastSave="0" documentId="8_{BEDF411C-8C85-4634-B244-F1CC39ACE70A}" xr6:coauthVersionLast="47" xr6:coauthVersionMax="47" xr10:uidLastSave="{00000000-0000-0000-0000-000000000000}"/>
  <bookViews>
    <workbookView xWindow="-120" yWindow="-120" windowWidth="29040" windowHeight="15720" activeTab="9" xr2:uid="{E29C0047-D5A4-4926-83D1-6F74E4E3F59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4" i="7" l="1"/>
  <c r="B23" i="7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B24" i="6"/>
  <c r="B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C23" i="6"/>
  <c r="V7" i="6"/>
  <c r="V8" i="6"/>
  <c r="V9" i="6"/>
  <c r="V10" i="6"/>
  <c r="V11" i="6"/>
  <c r="V12" i="6"/>
  <c r="V13" i="6"/>
  <c r="V14" i="6"/>
  <c r="V15" i="6"/>
  <c r="V16" i="6"/>
  <c r="V17" i="6"/>
  <c r="V19" i="6"/>
  <c r="V20" i="6"/>
  <c r="U3" i="6"/>
  <c r="U4" i="6"/>
  <c r="U5" i="6"/>
  <c r="U6" i="6"/>
  <c r="U7" i="6"/>
  <c r="W7" i="6" s="1"/>
  <c r="U8" i="6"/>
  <c r="W8" i="6" s="1"/>
  <c r="U9" i="6"/>
  <c r="W9" i="6" s="1"/>
  <c r="U10" i="6"/>
  <c r="W10" i="6" s="1"/>
  <c r="U11" i="6"/>
  <c r="W11" i="6" s="1"/>
  <c r="U12" i="6"/>
  <c r="W12" i="6" s="1"/>
  <c r="U13" i="6"/>
  <c r="W13" i="6" s="1"/>
  <c r="U14" i="6"/>
  <c r="W14" i="6" s="1"/>
  <c r="U15" i="6"/>
  <c r="W15" i="6" s="1"/>
  <c r="U16" i="6"/>
  <c r="W16" i="6" s="1"/>
  <c r="U17" i="6"/>
  <c r="W17" i="6" s="1"/>
  <c r="U18" i="6"/>
  <c r="V18" i="6" s="1"/>
  <c r="U19" i="6"/>
  <c r="W19" i="6" s="1"/>
  <c r="U20" i="6"/>
  <c r="W20" i="6" s="1"/>
  <c r="U21" i="6"/>
  <c r="V21" i="6" s="1"/>
  <c r="U2" i="6"/>
  <c r="V2" i="6" s="1"/>
  <c r="E25" i="5"/>
  <c r="E24" i="5"/>
  <c r="E23" i="5"/>
  <c r="C32" i="5"/>
  <c r="C31" i="5"/>
  <c r="C30" i="5"/>
  <c r="C29" i="5"/>
  <c r="C28" i="5"/>
  <c r="C27" i="5"/>
  <c r="C26" i="5"/>
  <c r="C25" i="5"/>
  <c r="C24" i="5"/>
  <c r="C26" i="4"/>
  <c r="C25" i="4"/>
  <c r="C24" i="4"/>
  <c r="C23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  <c r="V6" i="6" l="1"/>
  <c r="W6" i="6" s="1"/>
  <c r="V5" i="6"/>
  <c r="W5" i="6" s="1"/>
  <c r="V4" i="6"/>
  <c r="W4" i="6" s="1"/>
  <c r="V3" i="6"/>
  <c r="W3" i="6" s="1"/>
  <c r="W2" i="6"/>
  <c r="W21" i="6"/>
  <c r="W18" i="6"/>
</calcChain>
</file>

<file path=xl/sharedStrings.xml><?xml version="1.0" encoding="utf-8"?>
<sst xmlns="http://schemas.openxmlformats.org/spreadsheetml/2006/main" count="773" uniqueCount="230">
  <si>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</si>
  <si>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</si>
  <si>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</si>
  <si>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</si>
  <si>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</si>
  <si>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</si>
  <si>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</si>
  <si>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</si>
  <si>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</si>
  <si>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</si>
  <si>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</si>
  <si>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</si>
  <si>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</si>
  <si>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</si>
  <si>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18-07-2020</t>
  </si>
  <si>
    <t>E104</t>
  </si>
  <si>
    <t>Pooja Singh</t>
  </si>
  <si>
    <t>E105</t>
  </si>
  <si>
    <t>Ankit Patel</t>
  </si>
  <si>
    <t>Sales</t>
  </si>
  <si>
    <t>25-06-2023</t>
  </si>
  <si>
    <t xml:space="preserve">Task
Format header row (Bold, Color)
Salary → Currency (₹)
Date → Date format
Apply borders and auto-fit columns
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</si>
  <si>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</si>
  <si>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</si>
  <si>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</si>
  <si>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</si>
  <si>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</si>
  <si>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</si>
  <si>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</si>
  <si>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</si>
  <si>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</si>
  <si>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</si>
  <si>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</si>
  <si>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</si>
  <si>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</si>
  <si>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</si>
  <si>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</si>
  <si>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Aakash</t>
  </si>
  <si>
    <t>Bhavya</t>
  </si>
  <si>
    <t>Chirag</t>
  </si>
  <si>
    <t>Divya</t>
  </si>
  <si>
    <t>Esha</t>
  </si>
  <si>
    <t>Store</t>
  </si>
  <si>
    <t>Security</t>
  </si>
  <si>
    <t>HSE</t>
  </si>
  <si>
    <t>Production</t>
  </si>
  <si>
    <t>Dispatch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</si>
  <si>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</si>
  <si>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</si>
  <si>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</si>
  <si>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</si>
  <si>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</si>
  <si>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</si>
  <si>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</si>
  <si>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</si>
  <si>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</si>
  <si>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</si>
  <si>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</si>
  <si>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</si>
  <si>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</si>
  <si>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</si>
  <si>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</si>
  <si>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</si>
  <si>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Add title Monthly Sales Report
Merge &amp; center title
Wrap text for product names
Currency format for sales</t>
  </si>
  <si>
    <t>Roll No</t>
  </si>
  <si>
    <t>Student Name</t>
  </si>
  <si>
    <t>Maths</t>
  </si>
  <si>
    <t>Science</t>
  </si>
  <si>
    <t>English</t>
  </si>
  <si>
    <t>Percentage</t>
  </si>
  <si>
    <t>Calculate Percentage
Format percentage column
Apply cell styles to headers</t>
  </si>
  <si>
    <t>Apple iPad 10th Gen</t>
  </si>
  <si>
    <t>Rohit</t>
  </si>
  <si>
    <t>Logitech Keyboard</t>
  </si>
  <si>
    <t>Neha</t>
  </si>
  <si>
    <t>Canon Inkjet Printer</t>
  </si>
  <si>
    <t>Vikram</t>
  </si>
  <si>
    <t>Asus VivoBook 15</t>
  </si>
  <si>
    <t>Pooja</t>
  </si>
  <si>
    <t>Sony Noise Cancelling Headphones</t>
  </si>
  <si>
    <t>Aman</t>
  </si>
  <si>
    <t>Dell USB-C Docking Station</t>
  </si>
  <si>
    <t>Anjali</t>
  </si>
  <si>
    <t>Seagate 1TB External Hard Drive</t>
  </si>
  <si>
    <t>Suresh</t>
  </si>
  <si>
    <t>HP Pavilion Gaming Laptop</t>
  </si>
  <si>
    <t>Samsung Galaxy Tab A</t>
  </si>
  <si>
    <t>Karan</t>
  </si>
  <si>
    <t>LG 27-inch LED Monitor</t>
  </si>
  <si>
    <t>Meena</t>
  </si>
  <si>
    <t>Boat Bluetooth Speaker</t>
  </si>
  <si>
    <t>Rahul</t>
  </si>
  <si>
    <t>Microsoft Office Home License</t>
  </si>
  <si>
    <t>Shalini</t>
  </si>
  <si>
    <t>WD 512GB SSD</t>
  </si>
  <si>
    <t>Nikhil</t>
  </si>
  <si>
    <t>Acer Aspire 7 Laptop</t>
  </si>
  <si>
    <t>Priya</t>
  </si>
  <si>
    <t>TP-Link WiFi Router</t>
  </si>
  <si>
    <t>Manoj</t>
  </si>
  <si>
    <t>Epson Color Scanner</t>
  </si>
  <si>
    <t>Rekha</t>
  </si>
  <si>
    <t>Monthly Sales Report</t>
  </si>
  <si>
    <t>Farhan</t>
  </si>
  <si>
    <t>Gauri</t>
  </si>
  <si>
    <t>Harsh</t>
  </si>
  <si>
    <t>Isha</t>
  </si>
  <si>
    <t>Jay</t>
  </si>
  <si>
    <t>Kavya</t>
  </si>
  <si>
    <t>Lalit</t>
  </si>
  <si>
    <t>Meera</t>
  </si>
  <si>
    <t>Om</t>
  </si>
  <si>
    <t>Sana</t>
  </si>
  <si>
    <t>Tanvi</t>
  </si>
  <si>
    <t>Vikas</t>
  </si>
  <si>
    <t>Total</t>
  </si>
  <si>
    <t>Invoice Date</t>
  </si>
  <si>
    <t>Product</t>
  </si>
  <si>
    <t>INV001</t>
  </si>
  <si>
    <t>Laptop</t>
  </si>
  <si>
    <t>INV002</t>
  </si>
  <si>
    <t>INV003</t>
  </si>
  <si>
    <t>INV004</t>
  </si>
  <si>
    <t>INV005</t>
  </si>
  <si>
    <t>Keyboard</t>
  </si>
  <si>
    <t>INV006</t>
  </si>
  <si>
    <t>Tablet</t>
  </si>
  <si>
    <t>INV007</t>
  </si>
  <si>
    <t>INV008</t>
  </si>
  <si>
    <t>INV009</t>
  </si>
  <si>
    <t>INV010</t>
  </si>
  <si>
    <t>INV011</t>
  </si>
  <si>
    <t>INV012</t>
  </si>
  <si>
    <t>INV013</t>
  </si>
  <si>
    <t>13-01-2024</t>
  </si>
  <si>
    <t>INV014</t>
  </si>
  <si>
    <t>14-01-2024</t>
  </si>
  <si>
    <t>INV015</t>
  </si>
  <si>
    <t>15-01-2024</t>
  </si>
  <si>
    <t>INV016</t>
  </si>
  <si>
    <t>16-01-2024</t>
  </si>
  <si>
    <t>INV017</t>
  </si>
  <si>
    <t>17-01-2024</t>
  </si>
  <si>
    <t>INV018</t>
  </si>
  <si>
    <t>18-01-2024</t>
  </si>
  <si>
    <t>INV019</t>
  </si>
  <si>
    <t>19-01-2024</t>
  </si>
  <si>
    <t>INV020</t>
  </si>
  <si>
    <t>20-01-2024</t>
  </si>
  <si>
    <t>Invoice No</t>
  </si>
  <si>
    <t>Gross Sales</t>
  </si>
  <si>
    <t>Calculate Total Sales
Find Average Sales
Identify Highest &amp; Lowest Sale</t>
  </si>
  <si>
    <t>Average</t>
  </si>
  <si>
    <t>High</t>
  </si>
  <si>
    <t>Low</t>
  </si>
  <si>
    <t>Total salary per department
Average salary
Count employees</t>
  </si>
  <si>
    <t>Count employees</t>
  </si>
  <si>
    <t>Average salary</t>
  </si>
  <si>
    <t>Count Present days
Count Absent days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</si>
  <si>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</si>
  <si>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</si>
  <si>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</si>
  <si>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</si>
  <si>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</si>
  <si>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</si>
  <si>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</si>
  <si>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</si>
  <si>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</si>
  <si>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</si>
  <si>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</si>
  <si>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</si>
  <si>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</si>
  <si>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</si>
  <si>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</si>
  <si>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</si>
  <si>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</si>
  <si>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</si>
  <si>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</si>
  <si>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P</t>
  </si>
  <si>
    <t>A</t>
  </si>
  <si>
    <t>Gaurav</t>
  </si>
  <si>
    <t>Himani</t>
  </si>
  <si>
    <t>Ishaan</t>
  </si>
  <si>
    <t>Jaya</t>
  </si>
  <si>
    <t>Kunal</t>
  </si>
  <si>
    <t>Lavanya</t>
  </si>
  <si>
    <t>Mohit</t>
  </si>
  <si>
    <t>Nisha</t>
  </si>
  <si>
    <t>Omkar</t>
  </si>
  <si>
    <t>Rohan</t>
  </si>
  <si>
    <t>Yash</t>
  </si>
  <si>
    <t>Present days</t>
  </si>
  <si>
    <t>Absent days</t>
  </si>
  <si>
    <t>TOTAL day</t>
  </si>
  <si>
    <t>Order ID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</si>
  <si>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</si>
  <si>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</si>
  <si>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</si>
  <si>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</si>
  <si>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</si>
  <si>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</si>
  <si>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</si>
  <si>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</si>
  <si>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</si>
  <si>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</si>
  <si>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</si>
  <si>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</si>
  <si>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</si>
  <si>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</si>
  <si>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</si>
  <si>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</si>
  <si>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</si>
  <si>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</si>
  <si>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</si>
  <si>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Count sales above 10000
Count sales below 5000</t>
  </si>
  <si>
    <t>sales above 10000</t>
  </si>
  <si>
    <t xml:space="preserve"> sales below 5000</t>
  </si>
  <si>
    <t>Mobile</t>
  </si>
  <si>
    <t>Headphones</t>
  </si>
  <si>
    <t xml:space="preserve">Highlight sales &gt; 20000 (Green)
Highlight sales &lt; 5000 (Red)
</t>
  </si>
  <si>
    <t>Marks</t>
  </si>
  <si>
    <t>Bharti</t>
  </si>
  <si>
    <t>Chetan</t>
  </si>
  <si>
    <t>Deepa</t>
  </si>
  <si>
    <t>Marks ≥ 75 → Green
Marks &lt; 40 → Red</t>
  </si>
  <si>
    <t>Employee Name</t>
  </si>
  <si>
    <t>Simran</t>
  </si>
  <si>
    <t>Vijay</t>
  </si>
  <si>
    <t>Mohan</t>
  </si>
  <si>
    <t>≥ 50000 → Dark Green
30000–49999 → Yellow
&lt; 30000 → Light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</si>
</sst>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4" formatCode="[$₹-439]#,##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rgb="FF0070C0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D1D9E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4" fillId="2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center" wrapText="1"/>
    </xf>
    <xf numFmtId="0" fontId="3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vertical="center"/>
    </xf>
    <xf numFmtId="14" fontId="4" fillId="2" borderId="2" xfId="0" applyNumberFormat="1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174" fontId="4" fillId="2" borderId="2" xfId="0" applyNumberFormat="1" applyFont="1" applyFill="1" applyBorder="1" applyAlignment="1">
      <alignment horizontal="left" vertical="center"/>
    </xf>
    <xf numFmtId="174" fontId="4" fillId="3" borderId="2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6" fillId="0" borderId="0" xfId="0" applyFont="1" applyAlignment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8" fillId="0" borderId="3" xfId="0" applyFont="1" applyBorder="1" applyAlignment="1">
      <alignment horizontal="center"/>
    </xf>
    <xf numFmtId="0" fontId="4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44" fontId="4" fillId="2" borderId="1" xfId="0" applyNumberFormat="1" applyFont="1" applyFill="1" applyBorder="1" applyAlignment="1">
      <alignment horizontal="left" vertical="center"/>
    </xf>
    <xf numFmtId="44" fontId="4" fillId="3" borderId="1" xfId="0" applyNumberFormat="1" applyFont="1" applyFill="1" applyBorder="1" applyAlignment="1">
      <alignment horizontal="left" vertical="center"/>
    </xf>
    <xf numFmtId="9" fontId="4" fillId="2" borderId="1" xfId="1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/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horizontal="left" vertical="center"/>
    </xf>
    <xf numFmtId="174" fontId="4" fillId="3" borderId="0" xfId="0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74" fontId="0" fillId="0" borderId="2" xfId="0" applyNumberFormat="1" applyBorder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left" vertical="center" indent="1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15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0FC44-422D-4F05-B3DE-6E109AC4F147}">
  <dimension ref="A1:R21"/>
  <sheetViews>
    <sheetView workbookViewId="0">
      <selection activeCell="B1" sqref="B1:D21"/>
    </sheetView>
  </sheetViews>
  <sheetFormatPr defaultRowHeight="15" x14ac:dyDescent="0.25"/>
  <cols>
    <col min="1" max="1" width="15.42578125" bestFit="1" customWidth="1"/>
    <col min="2" max="2" width="14.42578125" bestFit="1" customWidth="1"/>
    <col min="3" max="3" width="14.7109375" bestFit="1" customWidth="1"/>
    <col min="4" max="4" width="13.85546875" bestFit="1" customWidth="1"/>
    <col min="5" max="5" width="15.42578125" bestFit="1" customWidth="1"/>
  </cols>
  <sheetData>
    <row r="1" spans="1:18" ht="17.2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18" ht="17.25" x14ac:dyDescent="0.25">
      <c r="A2" s="8" t="s">
        <v>5</v>
      </c>
      <c r="B2" s="9" t="s">
        <v>6</v>
      </c>
      <c r="C2" s="8" t="s">
        <v>7</v>
      </c>
      <c r="D2" s="15">
        <v>32000</v>
      </c>
      <c r="E2" s="10">
        <v>44896</v>
      </c>
    </row>
    <row r="3" spans="1:18" ht="18" customHeight="1" x14ac:dyDescent="0.25">
      <c r="A3" s="11" t="s">
        <v>8</v>
      </c>
      <c r="B3" s="12" t="s">
        <v>9</v>
      </c>
      <c r="C3" s="11" t="s">
        <v>10</v>
      </c>
      <c r="D3" s="15">
        <v>45000</v>
      </c>
      <c r="E3" s="10">
        <v>44319</v>
      </c>
      <c r="L3" s="6" t="s">
        <v>21</v>
      </c>
      <c r="M3" s="6"/>
      <c r="N3" s="6"/>
      <c r="O3" s="6"/>
      <c r="P3" s="6"/>
      <c r="Q3" s="6"/>
      <c r="R3" s="6"/>
    </row>
    <row r="4" spans="1:18" ht="17.25" x14ac:dyDescent="0.25">
      <c r="A4" s="8" t="s">
        <v>11</v>
      </c>
      <c r="B4" s="9" t="s">
        <v>12</v>
      </c>
      <c r="C4" s="8" t="s">
        <v>13</v>
      </c>
      <c r="D4" s="15">
        <v>38000</v>
      </c>
      <c r="E4" s="10" t="s">
        <v>14</v>
      </c>
      <c r="L4" s="6"/>
      <c r="M4" s="6"/>
      <c r="N4" s="6"/>
      <c r="O4" s="6"/>
      <c r="P4" s="6"/>
      <c r="Q4" s="6"/>
      <c r="R4" s="6"/>
    </row>
    <row r="5" spans="1:18" ht="17.25" x14ac:dyDescent="0.25">
      <c r="A5" s="11" t="s">
        <v>15</v>
      </c>
      <c r="B5" s="12" t="s">
        <v>16</v>
      </c>
      <c r="C5" s="11" t="s">
        <v>10</v>
      </c>
      <c r="D5" s="16">
        <v>52000</v>
      </c>
      <c r="E5" s="10">
        <v>43749</v>
      </c>
      <c r="L5" s="6"/>
      <c r="M5" s="6"/>
      <c r="N5" s="6"/>
      <c r="O5" s="6"/>
      <c r="P5" s="6"/>
      <c r="Q5" s="6"/>
      <c r="R5" s="6"/>
    </row>
    <row r="6" spans="1:18" ht="17.25" x14ac:dyDescent="0.25">
      <c r="A6" s="8" t="s">
        <v>17</v>
      </c>
      <c r="B6" s="9" t="s">
        <v>18</v>
      </c>
      <c r="C6" s="8" t="s">
        <v>19</v>
      </c>
      <c r="D6" s="15">
        <v>30000</v>
      </c>
      <c r="E6" s="10" t="s">
        <v>20</v>
      </c>
      <c r="L6" s="6"/>
      <c r="M6" s="6"/>
      <c r="N6" s="6"/>
      <c r="O6" s="6"/>
      <c r="P6" s="6"/>
      <c r="Q6" s="6"/>
      <c r="R6" s="6"/>
    </row>
    <row r="7" spans="1:18" ht="17.25" x14ac:dyDescent="0.25">
      <c r="A7" s="8" t="s">
        <v>22</v>
      </c>
      <c r="B7" s="13" t="s">
        <v>37</v>
      </c>
      <c r="C7" s="8" t="s">
        <v>42</v>
      </c>
      <c r="D7" s="16">
        <v>36617</v>
      </c>
      <c r="E7" s="10">
        <v>45909</v>
      </c>
      <c r="L7" s="6"/>
      <c r="M7" s="6"/>
      <c r="N7" s="6"/>
      <c r="O7" s="6"/>
      <c r="P7" s="6"/>
      <c r="Q7" s="6"/>
      <c r="R7" s="6"/>
    </row>
    <row r="8" spans="1:18" ht="17.25" x14ac:dyDescent="0.25">
      <c r="A8" s="8" t="s">
        <v>23</v>
      </c>
      <c r="B8" s="14" t="s">
        <v>38</v>
      </c>
      <c r="C8" s="11" t="s">
        <v>43</v>
      </c>
      <c r="D8" s="16">
        <v>37464</v>
      </c>
      <c r="E8" s="10">
        <v>45920</v>
      </c>
      <c r="L8" s="6"/>
      <c r="M8" s="6"/>
      <c r="N8" s="6"/>
      <c r="O8" s="6"/>
      <c r="P8" s="6"/>
      <c r="Q8" s="6"/>
      <c r="R8" s="6"/>
    </row>
    <row r="9" spans="1:18" ht="17.25" x14ac:dyDescent="0.25">
      <c r="A9" s="8" t="s">
        <v>24</v>
      </c>
      <c r="B9" s="13" t="s">
        <v>39</v>
      </c>
      <c r="C9" s="8" t="s">
        <v>44</v>
      </c>
      <c r="D9" s="16">
        <v>35711</v>
      </c>
      <c r="E9" s="10">
        <v>45944</v>
      </c>
      <c r="L9" s="6"/>
      <c r="M9" s="6"/>
      <c r="N9" s="6"/>
      <c r="O9" s="6"/>
      <c r="P9" s="6"/>
      <c r="Q9" s="6"/>
      <c r="R9" s="6"/>
    </row>
    <row r="10" spans="1:18" ht="17.25" x14ac:dyDescent="0.25">
      <c r="A10" s="8" t="s">
        <v>25</v>
      </c>
      <c r="B10" s="14" t="s">
        <v>40</v>
      </c>
      <c r="C10" s="8" t="s">
        <v>45</v>
      </c>
      <c r="D10" s="16">
        <v>32281</v>
      </c>
      <c r="E10" s="10">
        <v>45989</v>
      </c>
      <c r="L10" s="6"/>
      <c r="M10" s="6"/>
      <c r="N10" s="6"/>
      <c r="O10" s="6"/>
      <c r="P10" s="6"/>
      <c r="Q10" s="6"/>
      <c r="R10" s="6"/>
    </row>
    <row r="11" spans="1:18" ht="17.25" x14ac:dyDescent="0.25">
      <c r="A11" s="8" t="s">
        <v>26</v>
      </c>
      <c r="B11" s="13" t="s">
        <v>41</v>
      </c>
      <c r="C11" s="11" t="s">
        <v>46</v>
      </c>
      <c r="D11" s="16">
        <v>39265</v>
      </c>
      <c r="E11" s="10">
        <v>45959</v>
      </c>
      <c r="L11" s="6"/>
      <c r="M11" s="6"/>
      <c r="N11" s="6"/>
      <c r="O11" s="6"/>
      <c r="P11" s="6"/>
      <c r="Q11" s="6"/>
      <c r="R11" s="6"/>
    </row>
    <row r="12" spans="1:18" ht="17.25" x14ac:dyDescent="0.25">
      <c r="A12" s="8" t="s">
        <v>27</v>
      </c>
      <c r="B12" s="12" t="s">
        <v>16</v>
      </c>
      <c r="C12" s="8" t="s">
        <v>13</v>
      </c>
      <c r="D12" s="16">
        <v>37915</v>
      </c>
      <c r="E12" s="10">
        <v>45969</v>
      </c>
      <c r="L12" s="6"/>
      <c r="M12" s="6"/>
      <c r="N12" s="6"/>
      <c r="O12" s="6"/>
      <c r="P12" s="6"/>
      <c r="Q12" s="6"/>
      <c r="R12" s="6"/>
    </row>
    <row r="13" spans="1:18" ht="17.25" x14ac:dyDescent="0.25">
      <c r="A13" s="8" t="s">
        <v>28</v>
      </c>
      <c r="B13" s="9" t="s">
        <v>18</v>
      </c>
      <c r="C13" s="11" t="s">
        <v>10</v>
      </c>
      <c r="D13" s="16">
        <v>34926</v>
      </c>
      <c r="E13" s="10">
        <v>45794</v>
      </c>
      <c r="L13" s="6"/>
      <c r="M13" s="6"/>
      <c r="N13" s="6"/>
      <c r="O13" s="6"/>
      <c r="P13" s="6"/>
      <c r="Q13" s="6"/>
      <c r="R13" s="6"/>
    </row>
    <row r="14" spans="1:18" ht="17.25" x14ac:dyDescent="0.25">
      <c r="A14" s="8" t="s">
        <v>29</v>
      </c>
      <c r="B14" s="13" t="s">
        <v>37</v>
      </c>
      <c r="C14" s="8" t="s">
        <v>19</v>
      </c>
      <c r="D14" s="16">
        <v>33471</v>
      </c>
      <c r="E14" s="10">
        <v>45832</v>
      </c>
      <c r="L14" s="6"/>
      <c r="M14" s="6"/>
      <c r="N14" s="6"/>
      <c r="O14" s="6"/>
      <c r="P14" s="6"/>
      <c r="Q14" s="6"/>
      <c r="R14" s="6"/>
    </row>
    <row r="15" spans="1:18" ht="17.25" x14ac:dyDescent="0.25">
      <c r="A15" s="8" t="s">
        <v>30</v>
      </c>
      <c r="B15" s="14" t="s">
        <v>38</v>
      </c>
      <c r="C15" s="8" t="s">
        <v>42</v>
      </c>
      <c r="D15" s="16">
        <v>30797</v>
      </c>
      <c r="E15" s="10">
        <v>45868</v>
      </c>
    </row>
    <row r="16" spans="1:18" ht="17.25" x14ac:dyDescent="0.25">
      <c r="A16" s="8" t="s">
        <v>31</v>
      </c>
      <c r="B16" s="13" t="s">
        <v>39</v>
      </c>
      <c r="C16" s="11" t="s">
        <v>43</v>
      </c>
      <c r="D16" s="16">
        <v>31782</v>
      </c>
      <c r="E16" s="10">
        <v>45964</v>
      </c>
    </row>
    <row r="17" spans="1:5" ht="17.25" x14ac:dyDescent="0.25">
      <c r="A17" s="8" t="s">
        <v>32</v>
      </c>
      <c r="B17" s="14" t="s">
        <v>40</v>
      </c>
      <c r="C17" s="8" t="s">
        <v>44</v>
      </c>
      <c r="D17" s="16">
        <v>32784</v>
      </c>
      <c r="E17" s="10">
        <v>45866</v>
      </c>
    </row>
    <row r="18" spans="1:5" ht="17.25" x14ac:dyDescent="0.25">
      <c r="A18" s="8" t="s">
        <v>33</v>
      </c>
      <c r="B18" s="13" t="s">
        <v>41</v>
      </c>
      <c r="C18" s="11" t="s">
        <v>43</v>
      </c>
      <c r="D18" s="16">
        <v>35739</v>
      </c>
      <c r="E18" s="10">
        <v>46038</v>
      </c>
    </row>
    <row r="19" spans="1:5" ht="17.25" x14ac:dyDescent="0.25">
      <c r="A19" s="8" t="s">
        <v>34</v>
      </c>
      <c r="B19" s="12" t="s">
        <v>16</v>
      </c>
      <c r="C19" s="8" t="s">
        <v>44</v>
      </c>
      <c r="D19" s="16">
        <v>39734</v>
      </c>
      <c r="E19" s="10">
        <v>45939</v>
      </c>
    </row>
    <row r="20" spans="1:5" ht="17.25" x14ac:dyDescent="0.25">
      <c r="A20" s="8" t="s">
        <v>35</v>
      </c>
      <c r="B20" s="9" t="s">
        <v>18</v>
      </c>
      <c r="C20" s="8" t="s">
        <v>45</v>
      </c>
      <c r="D20" s="16">
        <v>36728</v>
      </c>
      <c r="E20" s="10">
        <v>45830</v>
      </c>
    </row>
    <row r="21" spans="1:5" ht="17.25" x14ac:dyDescent="0.25">
      <c r="A21" s="8" t="s">
        <v>36</v>
      </c>
      <c r="B21" s="13" t="s">
        <v>37</v>
      </c>
      <c r="C21" s="11" t="s">
        <v>46</v>
      </c>
      <c r="D21" s="16">
        <v>39326</v>
      </c>
      <c r="E21" s="10">
        <v>45979</v>
      </c>
    </row>
  </sheetData>
  <mergeCells count="1">
    <mergeCell ref="L3:R14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4CC2E-10D7-421B-BE02-7979DFB2F015}">
  <dimension ref="A1:T22"/>
  <sheetViews>
    <sheetView topLeftCell="A7" workbookViewId="0">
      <selection activeCell="A7" sqref="A7:A20"/>
    </sheetView>
  </sheetViews>
  <sheetFormatPr defaultRowHeight="15" x14ac:dyDescent="0.25"/>
  <cols>
    <col min="1" max="1" width="20.140625" customWidth="1"/>
    <col min="3" max="3" width="16.85546875" bestFit="1" customWidth="1"/>
    <col min="4" max="4" width="15" bestFit="1" customWidth="1"/>
  </cols>
  <sheetData>
    <row r="1" spans="1:20" ht="27" thickBot="1" x14ac:dyDescent="0.45">
      <c r="A1" s="22" t="s">
        <v>102</v>
      </c>
      <c r="B1" s="22"/>
      <c r="C1" s="22"/>
      <c r="D1" s="22"/>
    </row>
    <row r="2" spans="1:20" ht="35.1" customHeight="1" thickBot="1" x14ac:dyDescent="0.3">
      <c r="A2" s="3" t="s">
        <v>47</v>
      </c>
      <c r="B2" s="3" t="s">
        <v>48</v>
      </c>
      <c r="C2" s="3" t="s">
        <v>49</v>
      </c>
      <c r="D2" s="3" t="s">
        <v>50</v>
      </c>
    </row>
    <row r="3" spans="1:20" ht="35.1" customHeight="1" thickBot="1" x14ac:dyDescent="0.3">
      <c r="A3" s="23" t="s">
        <v>51</v>
      </c>
      <c r="B3" s="4" t="s">
        <v>52</v>
      </c>
      <c r="C3" s="25">
        <v>45000</v>
      </c>
      <c r="D3" s="4" t="s">
        <v>53</v>
      </c>
    </row>
    <row r="4" spans="1:20" ht="35.1" customHeight="1" thickBot="1" x14ac:dyDescent="0.3">
      <c r="A4" s="24" t="s">
        <v>54</v>
      </c>
      <c r="B4" s="5" t="s">
        <v>55</v>
      </c>
      <c r="C4" s="26">
        <v>1200</v>
      </c>
      <c r="D4" s="5" t="s">
        <v>56</v>
      </c>
    </row>
    <row r="5" spans="1:20" ht="35.1" customHeight="1" thickBot="1" x14ac:dyDescent="0.4">
      <c r="A5" s="23" t="s">
        <v>57</v>
      </c>
      <c r="B5" s="4" t="s">
        <v>58</v>
      </c>
      <c r="C5" s="25">
        <v>18000</v>
      </c>
      <c r="D5" s="4" t="s">
        <v>59</v>
      </c>
      <c r="O5" s="6" t="s">
        <v>63</v>
      </c>
      <c r="P5" s="6"/>
      <c r="Q5" s="6"/>
      <c r="R5" s="6"/>
      <c r="S5" s="6"/>
      <c r="T5" s="19"/>
    </row>
    <row r="6" spans="1:20" ht="35.1" customHeight="1" thickBot="1" x14ac:dyDescent="0.4">
      <c r="A6" s="24" t="s">
        <v>60</v>
      </c>
      <c r="B6" s="5" t="s">
        <v>61</v>
      </c>
      <c r="C6" s="26">
        <v>62000</v>
      </c>
      <c r="D6" s="5" t="s">
        <v>62</v>
      </c>
      <c r="O6" s="6"/>
      <c r="P6" s="6"/>
      <c r="Q6" s="6"/>
      <c r="R6" s="6"/>
      <c r="S6" s="6"/>
      <c r="T6" s="19"/>
    </row>
    <row r="7" spans="1:20" ht="35.1" customHeight="1" thickBot="1" x14ac:dyDescent="0.4">
      <c r="A7" s="24" t="s">
        <v>71</v>
      </c>
      <c r="B7" s="5" t="s">
        <v>52</v>
      </c>
      <c r="C7" s="26">
        <v>42000</v>
      </c>
      <c r="D7" s="5" t="s">
        <v>72</v>
      </c>
      <c r="O7" s="6"/>
      <c r="P7" s="6"/>
      <c r="Q7" s="6"/>
      <c r="R7" s="6"/>
      <c r="S7" s="6"/>
      <c r="T7" s="19"/>
    </row>
    <row r="8" spans="1:20" ht="35.1" customHeight="1" thickBot="1" x14ac:dyDescent="0.4">
      <c r="A8" s="24" t="s">
        <v>73</v>
      </c>
      <c r="B8" s="5" t="s">
        <v>55</v>
      </c>
      <c r="C8" s="26">
        <v>2500</v>
      </c>
      <c r="D8" s="5" t="s">
        <v>74</v>
      </c>
      <c r="O8" s="6"/>
      <c r="P8" s="6"/>
      <c r="Q8" s="6"/>
      <c r="R8" s="6"/>
      <c r="S8" s="6"/>
      <c r="T8" s="19"/>
    </row>
    <row r="9" spans="1:20" ht="35.1" customHeight="1" thickBot="1" x14ac:dyDescent="0.4">
      <c r="A9" s="24" t="s">
        <v>75</v>
      </c>
      <c r="B9" s="5" t="s">
        <v>58</v>
      </c>
      <c r="C9" s="26">
        <v>15500</v>
      </c>
      <c r="D9" s="5" t="s">
        <v>76</v>
      </c>
      <c r="O9" s="6"/>
      <c r="P9" s="6"/>
      <c r="Q9" s="6"/>
      <c r="R9" s="6"/>
      <c r="S9" s="6"/>
      <c r="T9" s="19"/>
    </row>
    <row r="10" spans="1:20" ht="35.1" customHeight="1" thickBot="1" x14ac:dyDescent="0.4">
      <c r="A10" s="24" t="s">
        <v>77</v>
      </c>
      <c r="B10" s="5" t="s">
        <v>61</v>
      </c>
      <c r="C10" s="26">
        <v>52000</v>
      </c>
      <c r="D10" s="5" t="s">
        <v>78</v>
      </c>
      <c r="O10" s="6"/>
      <c r="P10" s="6"/>
      <c r="Q10" s="6"/>
      <c r="R10" s="6"/>
      <c r="S10" s="6"/>
      <c r="T10" s="19"/>
    </row>
    <row r="11" spans="1:20" ht="35.1" customHeight="1" thickBot="1" x14ac:dyDescent="0.4">
      <c r="A11" s="24" t="s">
        <v>79</v>
      </c>
      <c r="B11" s="5" t="s">
        <v>55</v>
      </c>
      <c r="C11" s="26">
        <v>28000</v>
      </c>
      <c r="D11" s="5" t="s">
        <v>80</v>
      </c>
      <c r="O11" s="18"/>
      <c r="P11" s="18"/>
      <c r="Q11" s="18"/>
      <c r="R11" s="18"/>
      <c r="S11" s="18"/>
      <c r="T11" s="19"/>
    </row>
    <row r="12" spans="1:20" ht="35.1" customHeight="1" thickBot="1" x14ac:dyDescent="0.4">
      <c r="A12" s="24" t="s">
        <v>81</v>
      </c>
      <c r="B12" s="5" t="s">
        <v>52</v>
      </c>
      <c r="C12" s="26">
        <v>9800</v>
      </c>
      <c r="D12" s="5" t="s">
        <v>82</v>
      </c>
      <c r="O12" s="18"/>
      <c r="P12" s="18"/>
      <c r="Q12" s="18"/>
      <c r="R12" s="18"/>
      <c r="S12" s="18"/>
      <c r="T12" s="19"/>
    </row>
    <row r="13" spans="1:20" ht="35.1" customHeight="1" thickBot="1" x14ac:dyDescent="0.4">
      <c r="A13" s="24" t="s">
        <v>83</v>
      </c>
      <c r="B13" s="5" t="s">
        <v>58</v>
      </c>
      <c r="C13" s="26">
        <v>4800</v>
      </c>
      <c r="D13" s="5" t="s">
        <v>84</v>
      </c>
      <c r="O13" s="18"/>
      <c r="P13" s="18"/>
      <c r="Q13" s="18"/>
      <c r="R13" s="18"/>
      <c r="S13" s="18"/>
      <c r="T13" s="19"/>
    </row>
    <row r="14" spans="1:20" ht="35.1" customHeight="1" thickBot="1" x14ac:dyDescent="0.4">
      <c r="A14" s="24" t="s">
        <v>85</v>
      </c>
      <c r="B14" s="5" t="s">
        <v>61</v>
      </c>
      <c r="C14" s="26">
        <v>74000</v>
      </c>
      <c r="D14" s="5" t="s">
        <v>40</v>
      </c>
      <c r="O14" s="18"/>
      <c r="P14" s="18"/>
      <c r="Q14" s="18"/>
      <c r="R14" s="18"/>
      <c r="S14" s="18"/>
      <c r="T14" s="19"/>
    </row>
    <row r="15" spans="1:20" ht="35.1" customHeight="1" thickBot="1" x14ac:dyDescent="0.4">
      <c r="A15" s="24" t="s">
        <v>86</v>
      </c>
      <c r="B15" s="5" t="s">
        <v>55</v>
      </c>
      <c r="C15" s="26">
        <v>21000</v>
      </c>
      <c r="D15" s="5" t="s">
        <v>87</v>
      </c>
      <c r="O15" s="18"/>
      <c r="P15" s="18"/>
      <c r="Q15" s="18"/>
      <c r="R15" s="18"/>
      <c r="S15" s="18"/>
      <c r="T15" s="19"/>
    </row>
    <row r="16" spans="1:20" ht="35.1" customHeight="1" thickBot="1" x14ac:dyDescent="0.4">
      <c r="A16" s="24" t="s">
        <v>88</v>
      </c>
      <c r="B16" s="5" t="s">
        <v>52</v>
      </c>
      <c r="C16" s="26">
        <v>23000</v>
      </c>
      <c r="D16" s="5" t="s">
        <v>89</v>
      </c>
      <c r="O16" s="19"/>
      <c r="P16" s="19"/>
      <c r="Q16" s="19"/>
      <c r="R16" s="19"/>
      <c r="S16" s="19"/>
      <c r="T16" s="19"/>
    </row>
    <row r="17" spans="1:20" ht="35.1" customHeight="1" thickBot="1" x14ac:dyDescent="0.4">
      <c r="A17" s="24" t="s">
        <v>90</v>
      </c>
      <c r="B17" s="5" t="s">
        <v>58</v>
      </c>
      <c r="C17" s="26">
        <v>3200</v>
      </c>
      <c r="D17" s="5" t="s">
        <v>91</v>
      </c>
      <c r="O17" s="19"/>
      <c r="P17" s="19"/>
      <c r="Q17" s="19"/>
      <c r="R17" s="19"/>
      <c r="S17" s="19"/>
      <c r="T17" s="19"/>
    </row>
    <row r="18" spans="1:20" ht="35.1" customHeight="1" thickBot="1" x14ac:dyDescent="0.4">
      <c r="A18" s="24" t="s">
        <v>92</v>
      </c>
      <c r="B18" s="5" t="s">
        <v>61</v>
      </c>
      <c r="C18" s="26">
        <v>9500</v>
      </c>
      <c r="D18" s="5" t="s">
        <v>93</v>
      </c>
      <c r="O18" s="19"/>
      <c r="P18" s="19"/>
      <c r="Q18" s="19"/>
      <c r="R18" s="19"/>
      <c r="S18" s="19"/>
      <c r="T18" s="19"/>
    </row>
    <row r="19" spans="1:20" ht="35.1" customHeight="1" thickBot="1" x14ac:dyDescent="0.4">
      <c r="A19" s="24" t="s">
        <v>94</v>
      </c>
      <c r="B19" s="5" t="s">
        <v>55</v>
      </c>
      <c r="C19" s="26">
        <v>5600</v>
      </c>
      <c r="D19" s="5" t="s">
        <v>95</v>
      </c>
      <c r="O19" s="19"/>
      <c r="P19" s="19"/>
      <c r="Q19" s="19"/>
      <c r="R19" s="19"/>
      <c r="S19" s="19"/>
      <c r="T19" s="19"/>
    </row>
    <row r="20" spans="1:20" ht="35.1" customHeight="1" thickBot="1" x14ac:dyDescent="0.4">
      <c r="A20" s="24" t="s">
        <v>96</v>
      </c>
      <c r="B20" s="5" t="s">
        <v>52</v>
      </c>
      <c r="C20" s="26">
        <v>58000</v>
      </c>
      <c r="D20" s="5" t="s">
        <v>97</v>
      </c>
      <c r="O20" s="19"/>
      <c r="P20" s="19"/>
      <c r="Q20" s="19"/>
      <c r="R20" s="19"/>
      <c r="S20" s="19"/>
      <c r="T20" s="19"/>
    </row>
    <row r="21" spans="1:20" ht="35.1" customHeight="1" thickBot="1" x14ac:dyDescent="0.4">
      <c r="A21" s="24" t="s">
        <v>98</v>
      </c>
      <c r="B21" s="5" t="s">
        <v>58</v>
      </c>
      <c r="C21" s="26">
        <v>3600</v>
      </c>
      <c r="D21" s="5" t="s">
        <v>99</v>
      </c>
      <c r="O21" s="19"/>
      <c r="P21" s="19"/>
      <c r="Q21" s="19"/>
      <c r="R21" s="19"/>
      <c r="S21" s="19"/>
      <c r="T21" s="19"/>
    </row>
    <row r="22" spans="1:20" ht="35.1" customHeight="1" thickBot="1" x14ac:dyDescent="0.3">
      <c r="A22" s="24" t="s">
        <v>100</v>
      </c>
      <c r="B22" s="5" t="s">
        <v>61</v>
      </c>
      <c r="C22" s="26">
        <v>12400</v>
      </c>
      <c r="D22" s="5" t="s">
        <v>101</v>
      </c>
    </row>
  </sheetData>
  <mergeCells count="2">
    <mergeCell ref="A1:D1"/>
    <mergeCell ref="O5:S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5C10E-D49A-47E9-99CA-9209803966E9}">
  <dimension ref="A1:V21"/>
  <sheetViews>
    <sheetView workbookViewId="0">
      <selection activeCell="B2" sqref="B2:C17"/>
    </sheetView>
  </sheetViews>
  <sheetFormatPr defaultRowHeight="15" x14ac:dyDescent="0.25"/>
  <cols>
    <col min="1" max="1" width="9.7109375" bestFit="1" customWidth="1"/>
    <col min="2" max="2" width="17.5703125" bestFit="1" customWidth="1"/>
    <col min="3" max="3" width="8.140625" bestFit="1" customWidth="1"/>
    <col min="4" max="4" width="9.7109375" bestFit="1" customWidth="1"/>
    <col min="5" max="5" width="9.42578125" bestFit="1" customWidth="1"/>
    <col min="6" max="7" width="13.85546875" bestFit="1" customWidth="1"/>
  </cols>
  <sheetData>
    <row r="1" spans="1:22" ht="18" thickBot="1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115</v>
      </c>
      <c r="G1" s="3" t="s">
        <v>69</v>
      </c>
    </row>
    <row r="2" spans="1:22" ht="18" thickBot="1" x14ac:dyDescent="0.3">
      <c r="A2" s="1">
        <v>1</v>
      </c>
      <c r="B2" s="1" t="s">
        <v>37</v>
      </c>
      <c r="C2" s="1">
        <v>78</v>
      </c>
      <c r="D2" s="1">
        <v>82</v>
      </c>
      <c r="E2" s="1">
        <v>74</v>
      </c>
      <c r="F2" s="1">
        <f>SUM(C2:E2)</f>
        <v>234</v>
      </c>
      <c r="G2" s="27">
        <f>F2/300</f>
        <v>0.78</v>
      </c>
      <c r="Q2" s="20" t="s">
        <v>70</v>
      </c>
      <c r="R2" s="21"/>
      <c r="S2" s="21"/>
      <c r="T2" s="21"/>
      <c r="U2" s="21"/>
      <c r="V2" s="21"/>
    </row>
    <row r="3" spans="1:22" ht="18" thickBot="1" x14ac:dyDescent="0.3">
      <c r="A3" s="1">
        <v>2</v>
      </c>
      <c r="B3" s="1" t="s">
        <v>38</v>
      </c>
      <c r="C3" s="1">
        <v>65</v>
      </c>
      <c r="D3" s="1">
        <v>70</v>
      </c>
      <c r="E3" s="1">
        <v>68</v>
      </c>
      <c r="F3" s="1">
        <f t="shared" ref="F3:G21" si="0">SUM(C3:E3)</f>
        <v>203</v>
      </c>
      <c r="G3" s="27">
        <f t="shared" ref="G3:G21" si="1">F3/300</f>
        <v>0.67666666666666664</v>
      </c>
      <c r="Q3" s="21"/>
      <c r="R3" s="21"/>
      <c r="S3" s="21"/>
      <c r="T3" s="21"/>
      <c r="U3" s="21"/>
      <c r="V3" s="21"/>
    </row>
    <row r="4" spans="1:22" ht="18" thickBot="1" x14ac:dyDescent="0.3">
      <c r="A4" s="1">
        <v>3</v>
      </c>
      <c r="B4" s="1" t="s">
        <v>39</v>
      </c>
      <c r="C4" s="1">
        <v>90</v>
      </c>
      <c r="D4" s="1">
        <v>88</v>
      </c>
      <c r="E4" s="1">
        <v>92</v>
      </c>
      <c r="F4" s="1">
        <f t="shared" si="0"/>
        <v>270</v>
      </c>
      <c r="G4" s="27">
        <f t="shared" si="1"/>
        <v>0.9</v>
      </c>
      <c r="Q4" s="21"/>
      <c r="R4" s="21"/>
      <c r="S4" s="21"/>
      <c r="T4" s="21"/>
      <c r="U4" s="21"/>
      <c r="V4" s="21"/>
    </row>
    <row r="5" spans="1:22" ht="18" thickBot="1" x14ac:dyDescent="0.3">
      <c r="A5" s="1">
        <v>4</v>
      </c>
      <c r="B5" s="1" t="s">
        <v>40</v>
      </c>
      <c r="C5" s="1">
        <v>35</v>
      </c>
      <c r="D5" s="1">
        <v>40</v>
      </c>
      <c r="E5" s="1">
        <v>38</v>
      </c>
      <c r="F5" s="1">
        <f t="shared" si="0"/>
        <v>113</v>
      </c>
      <c r="G5" s="27">
        <f t="shared" si="1"/>
        <v>0.37666666666666665</v>
      </c>
      <c r="Q5" s="21"/>
      <c r="R5" s="21"/>
      <c r="S5" s="21"/>
      <c r="T5" s="21"/>
      <c r="U5" s="21"/>
      <c r="V5" s="21"/>
    </row>
    <row r="6" spans="1:22" ht="18" thickBot="1" x14ac:dyDescent="0.3">
      <c r="A6" s="1">
        <v>5</v>
      </c>
      <c r="B6" s="1" t="s">
        <v>41</v>
      </c>
      <c r="C6" s="1">
        <v>55</v>
      </c>
      <c r="D6" s="1">
        <v>60</v>
      </c>
      <c r="E6" s="1">
        <v>58</v>
      </c>
      <c r="F6" s="1">
        <f t="shared" si="0"/>
        <v>173</v>
      </c>
      <c r="G6" s="27">
        <f t="shared" si="1"/>
        <v>0.57666666666666666</v>
      </c>
      <c r="Q6" s="21"/>
      <c r="R6" s="21"/>
      <c r="S6" s="21"/>
      <c r="T6" s="21"/>
      <c r="U6" s="21"/>
      <c r="V6" s="21"/>
    </row>
    <row r="7" spans="1:22" ht="18" thickBot="1" x14ac:dyDescent="0.3">
      <c r="A7" s="1">
        <v>6</v>
      </c>
      <c r="B7" s="1" t="s">
        <v>103</v>
      </c>
      <c r="C7" s="1">
        <v>72</v>
      </c>
      <c r="D7" s="1">
        <v>75</v>
      </c>
      <c r="E7" s="1">
        <v>78</v>
      </c>
      <c r="F7" s="1">
        <f t="shared" si="0"/>
        <v>225</v>
      </c>
      <c r="G7" s="27">
        <f t="shared" si="1"/>
        <v>0.75</v>
      </c>
      <c r="Q7" s="21"/>
      <c r="R7" s="21"/>
      <c r="S7" s="21"/>
      <c r="T7" s="21"/>
      <c r="U7" s="21"/>
      <c r="V7" s="21"/>
    </row>
    <row r="8" spans="1:22" ht="18" thickBot="1" x14ac:dyDescent="0.3">
      <c r="A8" s="1">
        <v>7</v>
      </c>
      <c r="B8" s="1" t="s">
        <v>104</v>
      </c>
      <c r="C8" s="1">
        <v>88</v>
      </c>
      <c r="D8" s="1">
        <v>85</v>
      </c>
      <c r="E8" s="1">
        <v>65</v>
      </c>
      <c r="F8" s="1">
        <f t="shared" si="0"/>
        <v>238</v>
      </c>
      <c r="G8" s="27">
        <f t="shared" si="1"/>
        <v>0.79333333333333333</v>
      </c>
      <c r="Q8" s="21"/>
      <c r="R8" s="21"/>
      <c r="S8" s="21"/>
      <c r="T8" s="21"/>
      <c r="U8" s="21"/>
      <c r="V8" s="21"/>
    </row>
    <row r="9" spans="1:22" ht="18" thickBot="1" x14ac:dyDescent="0.3">
      <c r="A9" s="1">
        <v>8</v>
      </c>
      <c r="B9" s="1" t="s">
        <v>105</v>
      </c>
      <c r="C9" s="1">
        <v>60</v>
      </c>
      <c r="D9" s="1">
        <v>58</v>
      </c>
      <c r="E9" s="1">
        <v>90</v>
      </c>
      <c r="F9" s="1">
        <f t="shared" si="0"/>
        <v>208</v>
      </c>
      <c r="G9" s="27">
        <f t="shared" si="1"/>
        <v>0.69333333333333336</v>
      </c>
      <c r="Q9" s="21"/>
      <c r="R9" s="21"/>
      <c r="S9" s="21"/>
      <c r="T9" s="21"/>
      <c r="U9" s="21"/>
      <c r="V9" s="21"/>
    </row>
    <row r="10" spans="1:22" ht="18" thickBot="1" x14ac:dyDescent="0.3">
      <c r="A10" s="1">
        <v>9</v>
      </c>
      <c r="B10" s="1" t="s">
        <v>106</v>
      </c>
      <c r="C10" s="1">
        <v>82</v>
      </c>
      <c r="D10" s="1">
        <v>80</v>
      </c>
      <c r="E10" s="1">
        <v>35</v>
      </c>
      <c r="F10" s="1">
        <f t="shared" si="0"/>
        <v>197</v>
      </c>
      <c r="G10" s="27">
        <f t="shared" si="1"/>
        <v>0.65666666666666662</v>
      </c>
      <c r="Q10" s="21"/>
      <c r="R10" s="21"/>
      <c r="S10" s="21"/>
      <c r="T10" s="21"/>
      <c r="U10" s="21"/>
      <c r="V10" s="21"/>
    </row>
    <row r="11" spans="1:22" ht="18" thickBot="1" x14ac:dyDescent="0.3">
      <c r="A11" s="1">
        <v>10</v>
      </c>
      <c r="B11" s="1" t="s">
        <v>107</v>
      </c>
      <c r="C11" s="1">
        <v>45</v>
      </c>
      <c r="D11" s="1">
        <v>48</v>
      </c>
      <c r="E11" s="1">
        <v>55</v>
      </c>
      <c r="F11" s="1">
        <f t="shared" si="0"/>
        <v>148</v>
      </c>
      <c r="G11" s="27">
        <f t="shared" si="1"/>
        <v>0.49333333333333335</v>
      </c>
      <c r="Q11" s="21"/>
      <c r="R11" s="21"/>
      <c r="S11" s="21"/>
      <c r="T11" s="21"/>
      <c r="U11" s="21"/>
      <c r="V11" s="21"/>
    </row>
    <row r="12" spans="1:22" ht="18" thickBot="1" x14ac:dyDescent="0.3">
      <c r="A12" s="1">
        <v>11</v>
      </c>
      <c r="B12" s="1" t="s">
        <v>108</v>
      </c>
      <c r="C12" s="1">
        <v>92</v>
      </c>
      <c r="D12" s="1">
        <v>90</v>
      </c>
      <c r="E12" s="1">
        <v>72</v>
      </c>
      <c r="F12" s="1">
        <f t="shared" si="0"/>
        <v>254</v>
      </c>
      <c r="G12" s="27">
        <f t="shared" si="1"/>
        <v>0.84666666666666668</v>
      </c>
    </row>
    <row r="13" spans="1:22" ht="18" thickBot="1" x14ac:dyDescent="0.3">
      <c r="A13" s="1">
        <v>12</v>
      </c>
      <c r="B13" s="1" t="s">
        <v>109</v>
      </c>
      <c r="C13" s="1">
        <v>68</v>
      </c>
      <c r="D13" s="1">
        <v>65</v>
      </c>
      <c r="E13" s="1">
        <v>88</v>
      </c>
      <c r="F13" s="1">
        <f t="shared" si="0"/>
        <v>221</v>
      </c>
      <c r="G13" s="27">
        <f t="shared" si="1"/>
        <v>0.73666666666666669</v>
      </c>
    </row>
    <row r="14" spans="1:22" ht="18" thickBot="1" x14ac:dyDescent="0.3">
      <c r="A14" s="1">
        <v>13</v>
      </c>
      <c r="B14" s="1" t="s">
        <v>110</v>
      </c>
      <c r="C14" s="1">
        <v>85</v>
      </c>
      <c r="D14" s="1">
        <v>88</v>
      </c>
      <c r="E14" s="1">
        <v>60</v>
      </c>
      <c r="F14" s="1">
        <f t="shared" si="0"/>
        <v>233</v>
      </c>
      <c r="G14" s="27">
        <f t="shared" si="1"/>
        <v>0.77666666666666662</v>
      </c>
    </row>
    <row r="15" spans="1:22" ht="18" thickBot="1" x14ac:dyDescent="0.3">
      <c r="A15" s="1">
        <v>14</v>
      </c>
      <c r="B15" s="1" t="s">
        <v>95</v>
      </c>
      <c r="C15" s="1">
        <v>58</v>
      </c>
      <c r="D15" s="1">
        <v>55</v>
      </c>
      <c r="E15" s="1">
        <v>65</v>
      </c>
      <c r="F15" s="1">
        <f t="shared" si="0"/>
        <v>178</v>
      </c>
      <c r="G15" s="27">
        <f t="shared" si="1"/>
        <v>0.59333333333333338</v>
      </c>
    </row>
    <row r="16" spans="1:22" ht="18" thickBot="1" x14ac:dyDescent="0.3">
      <c r="A16" s="1">
        <v>15</v>
      </c>
      <c r="B16" s="1" t="s">
        <v>111</v>
      </c>
      <c r="C16" s="1">
        <v>75</v>
      </c>
      <c r="D16" s="1">
        <v>78</v>
      </c>
      <c r="E16" s="1">
        <v>88</v>
      </c>
      <c r="F16" s="1">
        <f t="shared" si="0"/>
        <v>241</v>
      </c>
      <c r="G16" s="27">
        <f t="shared" si="1"/>
        <v>0.80333333333333334</v>
      </c>
    </row>
    <row r="17" spans="1:7" ht="18" thickBot="1" x14ac:dyDescent="0.3">
      <c r="A17" s="1">
        <v>16</v>
      </c>
      <c r="B17" s="1" t="s">
        <v>97</v>
      </c>
      <c r="C17" s="1">
        <v>90</v>
      </c>
      <c r="D17" s="1">
        <v>92</v>
      </c>
      <c r="E17" s="1">
        <v>55</v>
      </c>
      <c r="F17" s="1">
        <f t="shared" si="0"/>
        <v>237</v>
      </c>
      <c r="G17" s="27">
        <f t="shared" si="1"/>
        <v>0.79</v>
      </c>
    </row>
    <row r="18" spans="1:7" ht="18" thickBot="1" x14ac:dyDescent="0.3">
      <c r="A18" s="1">
        <v>17</v>
      </c>
      <c r="B18" s="1" t="s">
        <v>91</v>
      </c>
      <c r="C18" s="1">
        <v>62</v>
      </c>
      <c r="D18" s="1">
        <v>65</v>
      </c>
      <c r="E18" s="1">
        <v>78</v>
      </c>
      <c r="F18" s="1">
        <f t="shared" si="0"/>
        <v>205</v>
      </c>
      <c r="G18" s="27">
        <f t="shared" si="1"/>
        <v>0.68333333333333335</v>
      </c>
    </row>
    <row r="19" spans="1:7" ht="18" thickBot="1" x14ac:dyDescent="0.3">
      <c r="A19" s="1">
        <v>18</v>
      </c>
      <c r="B19" s="1" t="s">
        <v>112</v>
      </c>
      <c r="C19" s="1">
        <v>88</v>
      </c>
      <c r="D19" s="1">
        <v>90</v>
      </c>
      <c r="E19" s="1">
        <v>62</v>
      </c>
      <c r="F19" s="1">
        <f t="shared" si="0"/>
        <v>240</v>
      </c>
      <c r="G19" s="27">
        <f t="shared" si="1"/>
        <v>0.8</v>
      </c>
    </row>
    <row r="20" spans="1:7" ht="18" thickBot="1" x14ac:dyDescent="0.3">
      <c r="A20" s="1">
        <v>19</v>
      </c>
      <c r="B20" s="1" t="s">
        <v>113</v>
      </c>
      <c r="C20" s="1">
        <v>70</v>
      </c>
      <c r="D20" s="1">
        <v>72</v>
      </c>
      <c r="E20" s="1">
        <v>88</v>
      </c>
      <c r="F20" s="1">
        <f t="shared" si="0"/>
        <v>230</v>
      </c>
      <c r="G20" s="27">
        <f t="shared" si="1"/>
        <v>0.76666666666666672</v>
      </c>
    </row>
    <row r="21" spans="1:7" ht="18" thickBot="1" x14ac:dyDescent="0.3">
      <c r="A21" s="1">
        <v>20</v>
      </c>
      <c r="B21" s="1" t="s">
        <v>114</v>
      </c>
      <c r="C21" s="1">
        <v>52</v>
      </c>
      <c r="D21" s="1">
        <v>55</v>
      </c>
      <c r="E21" s="1">
        <v>70</v>
      </c>
      <c r="F21" s="1">
        <f t="shared" si="0"/>
        <v>177</v>
      </c>
      <c r="G21" s="27">
        <f t="shared" si="1"/>
        <v>0.59</v>
      </c>
    </row>
  </sheetData>
  <mergeCells count="1">
    <mergeCell ref="Q2:V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47F62-5FDA-4A37-9CD5-7829D996CC15}">
  <dimension ref="A1:R26"/>
  <sheetViews>
    <sheetView workbookViewId="0">
      <selection activeCell="E24" sqref="E24"/>
    </sheetView>
  </sheetViews>
  <sheetFormatPr defaultRowHeight="15" x14ac:dyDescent="0.25"/>
  <cols>
    <col min="1" max="1" width="10.42578125" bestFit="1" customWidth="1"/>
    <col min="2" max="2" width="12" bestFit="1" customWidth="1"/>
    <col min="3" max="3" width="11" bestFit="1" customWidth="1"/>
    <col min="4" max="4" width="6" bestFit="1" customWidth="1"/>
    <col min="5" max="5" width="8.7109375" bestFit="1" customWidth="1"/>
    <col min="6" max="6" width="9.28515625" bestFit="1" customWidth="1"/>
    <col min="7" max="7" width="14.7109375" bestFit="1" customWidth="1"/>
    <col min="8" max="8" width="7.140625" bestFit="1" customWidth="1"/>
    <col min="9" max="9" width="9.42578125" bestFit="1" customWidth="1"/>
    <col min="10" max="10" width="10.42578125" bestFit="1" customWidth="1"/>
    <col min="11" max="11" width="6.42578125" bestFit="1" customWidth="1"/>
    <col min="12" max="12" width="8.85546875" bestFit="1" customWidth="1"/>
    <col min="13" max="13" width="7" bestFit="1" customWidth="1"/>
    <col min="14" max="14" width="6" bestFit="1" customWidth="1"/>
    <col min="15" max="15" width="9.28515625" bestFit="1" customWidth="1"/>
    <col min="16" max="16" width="9.7109375" bestFit="1" customWidth="1"/>
  </cols>
  <sheetData>
    <row r="1" spans="1:18" x14ac:dyDescent="0.25">
      <c r="A1" s="28" t="s">
        <v>149</v>
      </c>
      <c r="B1" s="28" t="s">
        <v>116</v>
      </c>
      <c r="C1" s="28" t="s">
        <v>150</v>
      </c>
    </row>
    <row r="2" spans="1:18" x14ac:dyDescent="0.25">
      <c r="A2" s="29" t="s">
        <v>118</v>
      </c>
      <c r="B2" s="30">
        <v>45292</v>
      </c>
      <c r="C2" s="29">
        <v>12000</v>
      </c>
    </row>
    <row r="3" spans="1:18" x14ac:dyDescent="0.25">
      <c r="A3" s="29" t="s">
        <v>120</v>
      </c>
      <c r="B3" s="30">
        <v>45323</v>
      </c>
      <c r="C3" s="29">
        <v>25000</v>
      </c>
    </row>
    <row r="4" spans="1:18" x14ac:dyDescent="0.25">
      <c r="A4" s="29" t="s">
        <v>121</v>
      </c>
      <c r="B4" s="30">
        <v>45352</v>
      </c>
      <c r="C4" s="29">
        <v>8000</v>
      </c>
      <c r="M4" s="20" t="s">
        <v>151</v>
      </c>
      <c r="N4" s="21"/>
      <c r="O4" s="21"/>
      <c r="P4" s="21"/>
      <c r="Q4" s="21"/>
      <c r="R4" s="21"/>
    </row>
    <row r="5" spans="1:18" x14ac:dyDescent="0.25">
      <c r="A5" s="29" t="s">
        <v>122</v>
      </c>
      <c r="B5" s="30">
        <v>45383</v>
      </c>
      <c r="C5" s="29">
        <v>32000</v>
      </c>
      <c r="M5" s="21"/>
      <c r="N5" s="21"/>
      <c r="O5" s="21"/>
      <c r="P5" s="21"/>
      <c r="Q5" s="21"/>
      <c r="R5" s="21"/>
    </row>
    <row r="6" spans="1:18" x14ac:dyDescent="0.25">
      <c r="A6" s="29" t="s">
        <v>123</v>
      </c>
      <c r="B6" s="30">
        <v>45413</v>
      </c>
      <c r="C6" s="29">
        <v>15000</v>
      </c>
      <c r="M6" s="21"/>
      <c r="N6" s="21"/>
      <c r="O6" s="21"/>
      <c r="P6" s="21"/>
      <c r="Q6" s="21"/>
      <c r="R6" s="21"/>
    </row>
    <row r="7" spans="1:18" x14ac:dyDescent="0.25">
      <c r="A7" s="29" t="s">
        <v>125</v>
      </c>
      <c r="B7" s="30">
        <v>45444</v>
      </c>
      <c r="C7" s="29">
        <v>42000</v>
      </c>
      <c r="M7" s="21"/>
      <c r="N7" s="21"/>
      <c r="O7" s="21"/>
      <c r="P7" s="21"/>
      <c r="Q7" s="21"/>
      <c r="R7" s="21"/>
    </row>
    <row r="8" spans="1:18" x14ac:dyDescent="0.25">
      <c r="A8" s="29" t="s">
        <v>127</v>
      </c>
      <c r="B8" s="30">
        <v>45474</v>
      </c>
      <c r="C8" s="29">
        <v>18000</v>
      </c>
      <c r="M8" s="21"/>
      <c r="N8" s="21"/>
      <c r="O8" s="21"/>
      <c r="P8" s="21"/>
      <c r="Q8" s="21"/>
      <c r="R8" s="21"/>
    </row>
    <row r="9" spans="1:18" x14ac:dyDescent="0.25">
      <c r="A9" s="29" t="s">
        <v>128</v>
      </c>
      <c r="B9" s="30">
        <v>45505</v>
      </c>
      <c r="C9" s="29">
        <v>30000</v>
      </c>
      <c r="M9" s="21"/>
      <c r="N9" s="21"/>
      <c r="O9" s="21"/>
      <c r="P9" s="21"/>
      <c r="Q9" s="21"/>
      <c r="R9" s="21"/>
    </row>
    <row r="10" spans="1:18" x14ac:dyDescent="0.25">
      <c r="A10" s="29" t="s">
        <v>129</v>
      </c>
      <c r="B10" s="30">
        <v>45536</v>
      </c>
      <c r="C10" s="29">
        <v>60000</v>
      </c>
      <c r="M10" s="21"/>
      <c r="N10" s="21"/>
      <c r="O10" s="21"/>
      <c r="P10" s="21"/>
      <c r="Q10" s="21"/>
      <c r="R10" s="21"/>
    </row>
    <row r="11" spans="1:18" x14ac:dyDescent="0.25">
      <c r="A11" s="29" t="s">
        <v>130</v>
      </c>
      <c r="B11" s="30">
        <v>45566</v>
      </c>
      <c r="C11" s="29">
        <v>50000</v>
      </c>
      <c r="M11" s="21"/>
      <c r="N11" s="21"/>
      <c r="O11" s="21"/>
      <c r="P11" s="21"/>
      <c r="Q11" s="21"/>
      <c r="R11" s="21"/>
    </row>
    <row r="12" spans="1:18" x14ac:dyDescent="0.25">
      <c r="A12" s="29" t="s">
        <v>131</v>
      </c>
      <c r="B12" s="30">
        <v>45597</v>
      </c>
      <c r="C12" s="29">
        <v>45000</v>
      </c>
      <c r="M12" s="21"/>
      <c r="N12" s="21"/>
      <c r="O12" s="21"/>
      <c r="P12" s="21"/>
      <c r="Q12" s="21"/>
      <c r="R12" s="21"/>
    </row>
    <row r="13" spans="1:18" x14ac:dyDescent="0.25">
      <c r="A13" s="29" t="s">
        <v>132</v>
      </c>
      <c r="B13" s="30">
        <v>45627</v>
      </c>
      <c r="C13" s="29">
        <v>80000</v>
      </c>
      <c r="M13" s="21"/>
      <c r="N13" s="21"/>
      <c r="O13" s="21"/>
      <c r="P13" s="21"/>
      <c r="Q13" s="21"/>
      <c r="R13" s="21"/>
    </row>
    <row r="14" spans="1:18" x14ac:dyDescent="0.25">
      <c r="A14" s="29" t="s">
        <v>133</v>
      </c>
      <c r="B14" s="30" t="s">
        <v>134</v>
      </c>
      <c r="C14" s="29">
        <v>45000</v>
      </c>
      <c r="M14" s="21"/>
      <c r="N14" s="21"/>
      <c r="O14" s="21"/>
      <c r="P14" s="21"/>
      <c r="Q14" s="21"/>
      <c r="R14" s="21"/>
    </row>
    <row r="15" spans="1:18" x14ac:dyDescent="0.25">
      <c r="A15" s="29" t="s">
        <v>135</v>
      </c>
      <c r="B15" s="30" t="s">
        <v>136</v>
      </c>
      <c r="C15" s="29">
        <v>39600</v>
      </c>
    </row>
    <row r="16" spans="1:18" x14ac:dyDescent="0.25">
      <c r="A16" s="29" t="s">
        <v>137</v>
      </c>
      <c r="B16" s="30" t="s">
        <v>138</v>
      </c>
      <c r="C16" s="29">
        <v>35000</v>
      </c>
    </row>
    <row r="17" spans="1:3" x14ac:dyDescent="0.25">
      <c r="A17" s="29" t="s">
        <v>139</v>
      </c>
      <c r="B17" s="30" t="s">
        <v>140</v>
      </c>
      <c r="C17" s="29">
        <v>60000</v>
      </c>
    </row>
    <row r="18" spans="1:3" x14ac:dyDescent="0.25">
      <c r="A18" s="29" t="s">
        <v>141</v>
      </c>
      <c r="B18" s="30" t="s">
        <v>142</v>
      </c>
      <c r="C18" s="29">
        <v>54000</v>
      </c>
    </row>
    <row r="19" spans="1:3" x14ac:dyDescent="0.25">
      <c r="A19" s="29" t="s">
        <v>143</v>
      </c>
      <c r="B19" s="30" t="s">
        <v>144</v>
      </c>
      <c r="C19" s="29">
        <v>56000</v>
      </c>
    </row>
    <row r="20" spans="1:3" x14ac:dyDescent="0.25">
      <c r="A20" s="29" t="s">
        <v>145</v>
      </c>
      <c r="B20" s="30" t="s">
        <v>146</v>
      </c>
      <c r="C20" s="29">
        <v>170000</v>
      </c>
    </row>
    <row r="21" spans="1:3" x14ac:dyDescent="0.25">
      <c r="A21" s="29" t="s">
        <v>147</v>
      </c>
      <c r="B21" s="30" t="s">
        <v>148</v>
      </c>
      <c r="C21" s="29">
        <v>135000</v>
      </c>
    </row>
    <row r="23" spans="1:3" x14ac:dyDescent="0.25">
      <c r="A23" s="31" t="s">
        <v>115</v>
      </c>
      <c r="B23" s="31"/>
      <c r="C23" s="32">
        <f>SUM(C2:C21)</f>
        <v>1011600</v>
      </c>
    </row>
    <row r="24" spans="1:3" x14ac:dyDescent="0.25">
      <c r="A24" s="31" t="s">
        <v>152</v>
      </c>
      <c r="B24" s="31"/>
      <c r="C24" s="32">
        <f>AVERAGE(C2:C21)</f>
        <v>50580</v>
      </c>
    </row>
    <row r="25" spans="1:3" x14ac:dyDescent="0.25">
      <c r="A25" s="31" t="s">
        <v>153</v>
      </c>
      <c r="B25" s="31"/>
      <c r="C25" s="32">
        <f>MAX(C2:C21)</f>
        <v>170000</v>
      </c>
    </row>
    <row r="26" spans="1:3" x14ac:dyDescent="0.25">
      <c r="A26" s="31" t="s">
        <v>154</v>
      </c>
      <c r="B26" s="31"/>
      <c r="C26" s="32">
        <f>MIN(C2:C21)</f>
        <v>8000</v>
      </c>
    </row>
  </sheetData>
  <mergeCells count="5">
    <mergeCell ref="M4:R14"/>
    <mergeCell ref="A23:B23"/>
    <mergeCell ref="A24:B24"/>
    <mergeCell ref="A25:B25"/>
    <mergeCell ref="A26:B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81667-BB03-4AAE-8158-9490DE1A1DC1}">
  <dimension ref="A1:N32"/>
  <sheetViews>
    <sheetView workbookViewId="0">
      <selection activeCell="C2" sqref="C2:C17"/>
    </sheetView>
  </sheetViews>
  <sheetFormatPr defaultRowHeight="15" x14ac:dyDescent="0.25"/>
  <cols>
    <col min="1" max="1" width="14.42578125" bestFit="1" customWidth="1"/>
    <col min="2" max="2" width="14.7109375" bestFit="1" customWidth="1"/>
    <col min="3" max="3" width="9.42578125" bestFit="1" customWidth="1"/>
    <col min="4" max="4" width="16.7109375" bestFit="1" customWidth="1"/>
  </cols>
  <sheetData>
    <row r="1" spans="1:14" ht="17.25" x14ac:dyDescent="0.25">
      <c r="A1" s="7" t="s">
        <v>1</v>
      </c>
      <c r="B1" s="7" t="s">
        <v>2</v>
      </c>
      <c r="C1" s="7" t="s">
        <v>3</v>
      </c>
    </row>
    <row r="2" spans="1:14" ht="17.25" x14ac:dyDescent="0.25">
      <c r="A2" s="9" t="s">
        <v>6</v>
      </c>
      <c r="B2" s="8" t="s">
        <v>7</v>
      </c>
      <c r="C2" s="15">
        <v>32000</v>
      </c>
    </row>
    <row r="3" spans="1:14" ht="17.25" x14ac:dyDescent="0.25">
      <c r="A3" s="12" t="s">
        <v>9</v>
      </c>
      <c r="B3" s="11" t="s">
        <v>10</v>
      </c>
      <c r="C3" s="15">
        <v>45000</v>
      </c>
    </row>
    <row r="4" spans="1:14" ht="17.25" x14ac:dyDescent="0.25">
      <c r="A4" s="9" t="s">
        <v>12</v>
      </c>
      <c r="B4" s="8" t="s">
        <v>13</v>
      </c>
      <c r="C4" s="15">
        <v>38000</v>
      </c>
    </row>
    <row r="5" spans="1:14" ht="17.25" x14ac:dyDescent="0.25">
      <c r="A5" s="12" t="s">
        <v>16</v>
      </c>
      <c r="B5" s="11" t="s">
        <v>10</v>
      </c>
      <c r="C5" s="16">
        <v>52000</v>
      </c>
    </row>
    <row r="6" spans="1:14" ht="17.25" x14ac:dyDescent="0.25">
      <c r="A6" s="9" t="s">
        <v>18</v>
      </c>
      <c r="B6" s="8" t="s">
        <v>19</v>
      </c>
      <c r="C6" s="15">
        <v>30000</v>
      </c>
    </row>
    <row r="7" spans="1:14" ht="17.25" x14ac:dyDescent="0.25">
      <c r="A7" s="13" t="s">
        <v>37</v>
      </c>
      <c r="B7" s="8" t="s">
        <v>42</v>
      </c>
      <c r="C7" s="16">
        <v>36617</v>
      </c>
      <c r="J7" s="6" t="s">
        <v>155</v>
      </c>
      <c r="K7" s="17"/>
      <c r="L7" s="17"/>
      <c r="M7" s="17"/>
      <c r="N7" s="17"/>
    </row>
    <row r="8" spans="1:14" ht="17.25" x14ac:dyDescent="0.25">
      <c r="A8" s="14" t="s">
        <v>38</v>
      </c>
      <c r="B8" s="11" t="s">
        <v>43</v>
      </c>
      <c r="C8" s="16">
        <v>37464</v>
      </c>
      <c r="J8" s="17"/>
      <c r="K8" s="17"/>
      <c r="L8" s="17"/>
      <c r="M8" s="17"/>
      <c r="N8" s="17"/>
    </row>
    <row r="9" spans="1:14" ht="17.25" x14ac:dyDescent="0.25">
      <c r="A9" s="13" t="s">
        <v>39</v>
      </c>
      <c r="B9" s="8" t="s">
        <v>44</v>
      </c>
      <c r="C9" s="16">
        <v>35711</v>
      </c>
      <c r="J9" s="17"/>
      <c r="K9" s="17"/>
      <c r="L9" s="17"/>
      <c r="M9" s="17"/>
      <c r="N9" s="17"/>
    </row>
    <row r="10" spans="1:14" ht="17.25" x14ac:dyDescent="0.25">
      <c r="A10" s="14" t="s">
        <v>40</v>
      </c>
      <c r="B10" s="8" t="s">
        <v>45</v>
      </c>
      <c r="C10" s="16">
        <v>32281</v>
      </c>
      <c r="J10" s="17"/>
      <c r="K10" s="17"/>
      <c r="L10" s="17"/>
      <c r="M10" s="17"/>
      <c r="N10" s="17"/>
    </row>
    <row r="11" spans="1:14" ht="17.25" x14ac:dyDescent="0.25">
      <c r="A11" s="13" t="s">
        <v>41</v>
      </c>
      <c r="B11" s="11" t="s">
        <v>46</v>
      </c>
      <c r="C11" s="16">
        <v>39265</v>
      </c>
      <c r="J11" s="17"/>
      <c r="K11" s="17"/>
      <c r="L11" s="17"/>
      <c r="M11" s="17"/>
      <c r="N11" s="17"/>
    </row>
    <row r="12" spans="1:14" ht="17.25" x14ac:dyDescent="0.25">
      <c r="A12" s="12" t="s">
        <v>16</v>
      </c>
      <c r="B12" s="8" t="s">
        <v>13</v>
      </c>
      <c r="C12" s="16">
        <v>37915</v>
      </c>
      <c r="J12" s="17"/>
      <c r="K12" s="17"/>
      <c r="L12" s="17"/>
      <c r="M12" s="17"/>
      <c r="N12" s="17"/>
    </row>
    <row r="13" spans="1:14" ht="17.25" x14ac:dyDescent="0.25">
      <c r="A13" s="9" t="s">
        <v>18</v>
      </c>
      <c r="B13" s="11" t="s">
        <v>10</v>
      </c>
      <c r="C13" s="16">
        <v>34926</v>
      </c>
      <c r="J13" s="17"/>
      <c r="K13" s="17"/>
      <c r="L13" s="17"/>
      <c r="M13" s="17"/>
      <c r="N13" s="17"/>
    </row>
    <row r="14" spans="1:14" ht="17.25" x14ac:dyDescent="0.25">
      <c r="A14" s="13" t="s">
        <v>37</v>
      </c>
      <c r="B14" s="8" t="s">
        <v>19</v>
      </c>
      <c r="C14" s="16">
        <v>33471</v>
      </c>
      <c r="J14" s="17"/>
      <c r="K14" s="17"/>
      <c r="L14" s="17"/>
      <c r="M14" s="17"/>
      <c r="N14" s="17"/>
    </row>
    <row r="15" spans="1:14" ht="17.25" x14ac:dyDescent="0.25">
      <c r="A15" s="14" t="s">
        <v>38</v>
      </c>
      <c r="B15" s="8" t="s">
        <v>42</v>
      </c>
      <c r="C15" s="16">
        <v>30797</v>
      </c>
    </row>
    <row r="16" spans="1:14" ht="17.25" x14ac:dyDescent="0.25">
      <c r="A16" s="13" t="s">
        <v>39</v>
      </c>
      <c r="B16" s="11" t="s">
        <v>43</v>
      </c>
      <c r="C16" s="16">
        <v>31782</v>
      </c>
    </row>
    <row r="17" spans="1:5" ht="17.25" x14ac:dyDescent="0.25">
      <c r="A17" s="14" t="s">
        <v>40</v>
      </c>
      <c r="B17" s="8" t="s">
        <v>44</v>
      </c>
      <c r="C17" s="16">
        <v>32784</v>
      </c>
    </row>
    <row r="18" spans="1:5" ht="17.25" x14ac:dyDescent="0.25">
      <c r="A18" s="13" t="s">
        <v>41</v>
      </c>
      <c r="B18" s="11" t="s">
        <v>43</v>
      </c>
      <c r="C18" s="16">
        <v>35739</v>
      </c>
    </row>
    <row r="19" spans="1:5" ht="17.25" x14ac:dyDescent="0.25">
      <c r="A19" s="12" t="s">
        <v>16</v>
      </c>
      <c r="B19" s="8" t="s">
        <v>44</v>
      </c>
      <c r="C19" s="16">
        <v>39734</v>
      </c>
    </row>
    <row r="20" spans="1:5" ht="17.25" x14ac:dyDescent="0.25">
      <c r="A20" s="9" t="s">
        <v>18</v>
      </c>
      <c r="B20" s="8" t="s">
        <v>45</v>
      </c>
      <c r="C20" s="16">
        <v>36728</v>
      </c>
    </row>
    <row r="21" spans="1:5" ht="17.25" x14ac:dyDescent="0.25">
      <c r="A21" s="13" t="s">
        <v>37</v>
      </c>
      <c r="B21" s="11" t="s">
        <v>46</v>
      </c>
      <c r="C21" s="16">
        <v>39326</v>
      </c>
    </row>
    <row r="22" spans="1:5" ht="17.25" x14ac:dyDescent="0.25">
      <c r="A22" s="37"/>
      <c r="B22" s="38"/>
      <c r="C22" s="39"/>
    </row>
    <row r="23" spans="1:5" x14ac:dyDescent="0.25">
      <c r="A23" s="40" t="s">
        <v>2</v>
      </c>
      <c r="B23" s="40"/>
      <c r="C23" s="41" t="s">
        <v>3</v>
      </c>
      <c r="D23" s="32" t="s">
        <v>156</v>
      </c>
      <c r="E23" s="32">
        <f>COUNTA(A2:A21)</f>
        <v>20</v>
      </c>
    </row>
    <row r="24" spans="1:5" ht="17.25" x14ac:dyDescent="0.25">
      <c r="A24" s="33" t="s">
        <v>7</v>
      </c>
      <c r="B24" s="33"/>
      <c r="C24" s="32">
        <f>SUMIF(B2:B21, "HR", C2:C21)</f>
        <v>32000</v>
      </c>
      <c r="D24" s="32" t="s">
        <v>156</v>
      </c>
      <c r="E24" s="32">
        <f>COUNT(C2:C21)</f>
        <v>20</v>
      </c>
    </row>
    <row r="25" spans="1:5" ht="17.25" x14ac:dyDescent="0.25">
      <c r="A25" s="34" t="s">
        <v>10</v>
      </c>
      <c r="B25" s="34"/>
      <c r="C25" s="32">
        <f>SUMIF(B2:B21, "IT", C2:C21)</f>
        <v>131926</v>
      </c>
      <c r="D25" s="32" t="s">
        <v>157</v>
      </c>
      <c r="E25" s="42">
        <f>AVERAGE(C2:C21)</f>
        <v>36577</v>
      </c>
    </row>
    <row r="26" spans="1:5" ht="17.25" x14ac:dyDescent="0.25">
      <c r="A26" s="33" t="s">
        <v>13</v>
      </c>
      <c r="B26" s="33"/>
      <c r="C26" s="32">
        <f>SUMIF(B2:B21, "Finance", C2:C21)</f>
        <v>75915</v>
      </c>
    </row>
    <row r="27" spans="1:5" ht="17.25" x14ac:dyDescent="0.25">
      <c r="A27" s="33" t="s">
        <v>19</v>
      </c>
      <c r="B27" s="33"/>
      <c r="C27" s="32">
        <f>SUMIF(B2:B21, "Sales", C2:C21)</f>
        <v>63471</v>
      </c>
    </row>
    <row r="28" spans="1:5" ht="17.25" x14ac:dyDescent="0.25">
      <c r="A28" s="33" t="s">
        <v>42</v>
      </c>
      <c r="B28" s="33"/>
      <c r="C28" s="32">
        <f>SUMIF(B2:B21, "Store", C2:C21)</f>
        <v>67414</v>
      </c>
    </row>
    <row r="29" spans="1:5" ht="17.25" x14ac:dyDescent="0.25">
      <c r="A29" s="35" t="s">
        <v>43</v>
      </c>
      <c r="B29" s="36"/>
      <c r="C29" s="32">
        <f>SUMIF(B2:B21, "Security", C2:C21)</f>
        <v>104985</v>
      </c>
    </row>
    <row r="30" spans="1:5" ht="17.25" x14ac:dyDescent="0.25">
      <c r="A30" s="33" t="s">
        <v>44</v>
      </c>
      <c r="B30" s="33"/>
      <c r="C30" s="32">
        <f>SUMIF(B3:B23, "HSE", C3:C23)</f>
        <v>108229</v>
      </c>
    </row>
    <row r="31" spans="1:5" ht="17.25" x14ac:dyDescent="0.25">
      <c r="A31" s="33" t="s">
        <v>45</v>
      </c>
      <c r="B31" s="33"/>
      <c r="C31" s="32">
        <f>SUMIF(B4:B24, "Production", C4:C24)</f>
        <v>69009</v>
      </c>
    </row>
    <row r="32" spans="1:5" ht="17.25" x14ac:dyDescent="0.25">
      <c r="A32" s="33" t="s">
        <v>46</v>
      </c>
      <c r="B32" s="33"/>
      <c r="C32" s="32">
        <f>SUMIF(B5:B25, "Dispatch", C5:C25)</f>
        <v>78591</v>
      </c>
    </row>
  </sheetData>
  <mergeCells count="11">
    <mergeCell ref="A29:B29"/>
    <mergeCell ref="A30:B30"/>
    <mergeCell ref="A31:B31"/>
    <mergeCell ref="A32:B32"/>
    <mergeCell ref="A23:B23"/>
    <mergeCell ref="J7:N14"/>
    <mergeCell ref="A24:B24"/>
    <mergeCell ref="A25:B25"/>
    <mergeCell ref="A26:B26"/>
    <mergeCell ref="A27:B27"/>
    <mergeCell ref="A28:B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A657-744C-4E9E-8C65-1F88033EA18A}">
  <dimension ref="A1:AB24"/>
  <sheetViews>
    <sheetView workbookViewId="0">
      <selection activeCell="U23" sqref="U23:W23"/>
    </sheetView>
  </sheetViews>
  <sheetFormatPr defaultRowHeight="15" x14ac:dyDescent="0.25"/>
  <cols>
    <col min="21" max="21" width="12.28515625" bestFit="1" customWidth="1"/>
    <col min="22" max="22" width="11.7109375" bestFit="1" customWidth="1"/>
  </cols>
  <sheetData>
    <row r="1" spans="1:28" ht="30" x14ac:dyDescent="0.25">
      <c r="A1" s="43" t="s">
        <v>56</v>
      </c>
      <c r="B1" s="43" t="s">
        <v>159</v>
      </c>
      <c r="C1" s="43" t="s">
        <v>160</v>
      </c>
      <c r="D1" s="43" t="s">
        <v>161</v>
      </c>
      <c r="E1" s="43" t="s">
        <v>162</v>
      </c>
      <c r="F1" s="43" t="s">
        <v>163</v>
      </c>
      <c r="G1" s="43" t="s">
        <v>164</v>
      </c>
      <c r="H1" s="43" t="s">
        <v>165</v>
      </c>
      <c r="I1" s="43" t="s">
        <v>166</v>
      </c>
      <c r="J1" s="43" t="s">
        <v>167</v>
      </c>
      <c r="K1" s="43" t="s">
        <v>168</v>
      </c>
      <c r="L1" s="43" t="s">
        <v>169</v>
      </c>
      <c r="M1" s="43" t="s">
        <v>170</v>
      </c>
      <c r="N1" s="43" t="s">
        <v>171</v>
      </c>
      <c r="O1" s="43" t="s">
        <v>172</v>
      </c>
      <c r="P1" s="43" t="s">
        <v>173</v>
      </c>
      <c r="Q1" s="43" t="s">
        <v>174</v>
      </c>
      <c r="R1" s="43" t="s">
        <v>175</v>
      </c>
      <c r="S1" s="43" t="s">
        <v>176</v>
      </c>
      <c r="T1" s="43" t="s">
        <v>177</v>
      </c>
      <c r="U1" s="44" t="s">
        <v>191</v>
      </c>
      <c r="V1" s="44" t="s">
        <v>192</v>
      </c>
      <c r="W1" s="43" t="s">
        <v>193</v>
      </c>
    </row>
    <row r="2" spans="1:28" x14ac:dyDescent="0.25">
      <c r="A2" s="45" t="s">
        <v>37</v>
      </c>
      <c r="B2" s="45" t="s">
        <v>178</v>
      </c>
      <c r="C2" s="45" t="s">
        <v>179</v>
      </c>
      <c r="D2" s="45" t="s">
        <v>178</v>
      </c>
      <c r="E2" s="45" t="s">
        <v>178</v>
      </c>
      <c r="F2" s="45" t="s">
        <v>178</v>
      </c>
      <c r="G2" s="45" t="s">
        <v>178</v>
      </c>
      <c r="H2" s="45" t="s">
        <v>178</v>
      </c>
      <c r="I2" s="45" t="s">
        <v>179</v>
      </c>
      <c r="J2" s="45" t="s">
        <v>178</v>
      </c>
      <c r="K2" s="45" t="s">
        <v>178</v>
      </c>
      <c r="L2" s="45" t="s">
        <v>178</v>
      </c>
      <c r="M2" s="45" t="s">
        <v>178</v>
      </c>
      <c r="N2" s="45" t="s">
        <v>179</v>
      </c>
      <c r="O2" s="45" t="s">
        <v>178</v>
      </c>
      <c r="P2" s="45" t="s">
        <v>178</v>
      </c>
      <c r="Q2" s="45" t="s">
        <v>178</v>
      </c>
      <c r="R2" s="45" t="s">
        <v>178</v>
      </c>
      <c r="S2" s="45" t="s">
        <v>179</v>
      </c>
      <c r="T2" s="45" t="s">
        <v>178</v>
      </c>
      <c r="U2" s="32">
        <f>COUNTIF(A2:T2, "P")</f>
        <v>15</v>
      </c>
      <c r="V2" s="32">
        <f>COUNTIF(B2:U2, "A")</f>
        <v>4</v>
      </c>
      <c r="W2" s="32">
        <f>SUM(U2:V2)</f>
        <v>19</v>
      </c>
    </row>
    <row r="3" spans="1:28" x14ac:dyDescent="0.25">
      <c r="A3" s="45" t="s">
        <v>38</v>
      </c>
      <c r="B3" s="45" t="s">
        <v>178</v>
      </c>
      <c r="C3" s="45" t="s">
        <v>178</v>
      </c>
      <c r="D3" s="45" t="s">
        <v>178</v>
      </c>
      <c r="E3" s="45" t="s">
        <v>179</v>
      </c>
      <c r="F3" s="45" t="s">
        <v>178</v>
      </c>
      <c r="G3" s="45" t="s">
        <v>178</v>
      </c>
      <c r="H3" s="45" t="s">
        <v>179</v>
      </c>
      <c r="I3" s="45" t="s">
        <v>178</v>
      </c>
      <c r="J3" s="45" t="s">
        <v>178</v>
      </c>
      <c r="K3" s="45" t="s">
        <v>178</v>
      </c>
      <c r="L3" s="45" t="s">
        <v>179</v>
      </c>
      <c r="M3" s="45" t="s">
        <v>178</v>
      </c>
      <c r="N3" s="45" t="s">
        <v>178</v>
      </c>
      <c r="O3" s="45" t="s">
        <v>178</v>
      </c>
      <c r="P3" s="45" t="s">
        <v>178</v>
      </c>
      <c r="Q3" s="45" t="s">
        <v>179</v>
      </c>
      <c r="R3" s="45" t="s">
        <v>178</v>
      </c>
      <c r="S3" s="45" t="s">
        <v>178</v>
      </c>
      <c r="T3" s="45" t="s">
        <v>178</v>
      </c>
      <c r="U3" s="32">
        <f t="shared" ref="U3:U21" si="0">COUNTIF(A3:T3, "P")</f>
        <v>15</v>
      </c>
      <c r="V3" s="32">
        <f t="shared" ref="V3:V21" si="1">COUNTIF(B3:U3, "A")</f>
        <v>4</v>
      </c>
      <c r="W3" s="32">
        <f t="shared" ref="W3:W21" si="2">SUM(U3:V3)</f>
        <v>19</v>
      </c>
    </row>
    <row r="4" spans="1:28" x14ac:dyDescent="0.25">
      <c r="A4" s="45" t="s">
        <v>39</v>
      </c>
      <c r="B4" s="45" t="s">
        <v>179</v>
      </c>
      <c r="C4" s="45" t="s">
        <v>178</v>
      </c>
      <c r="D4" s="45" t="s">
        <v>178</v>
      </c>
      <c r="E4" s="45" t="s">
        <v>178</v>
      </c>
      <c r="F4" s="45" t="s">
        <v>178</v>
      </c>
      <c r="G4" s="45" t="s">
        <v>178</v>
      </c>
      <c r="H4" s="45" t="s">
        <v>178</v>
      </c>
      <c r="I4" s="45" t="s">
        <v>178</v>
      </c>
      <c r="J4" s="45" t="s">
        <v>179</v>
      </c>
      <c r="K4" s="45" t="s">
        <v>178</v>
      </c>
      <c r="L4" s="45" t="s">
        <v>178</v>
      </c>
      <c r="M4" s="45" t="s">
        <v>178</v>
      </c>
      <c r="N4" s="45" t="s">
        <v>178</v>
      </c>
      <c r="O4" s="45" t="s">
        <v>179</v>
      </c>
      <c r="P4" s="45" t="s">
        <v>178</v>
      </c>
      <c r="Q4" s="45" t="s">
        <v>178</v>
      </c>
      <c r="R4" s="45" t="s">
        <v>178</v>
      </c>
      <c r="S4" s="45" t="s">
        <v>178</v>
      </c>
      <c r="T4" s="45" t="s">
        <v>179</v>
      </c>
      <c r="U4" s="32">
        <f t="shared" si="0"/>
        <v>15</v>
      </c>
      <c r="V4" s="32">
        <f t="shared" si="1"/>
        <v>4</v>
      </c>
      <c r="W4" s="32">
        <f t="shared" si="2"/>
        <v>19</v>
      </c>
    </row>
    <row r="5" spans="1:28" x14ac:dyDescent="0.25">
      <c r="A5" s="45" t="s">
        <v>40</v>
      </c>
      <c r="B5" s="45" t="s">
        <v>178</v>
      </c>
      <c r="C5" s="45" t="s">
        <v>179</v>
      </c>
      <c r="D5" s="45" t="s">
        <v>179</v>
      </c>
      <c r="E5" s="45" t="s">
        <v>178</v>
      </c>
      <c r="F5" s="45" t="s">
        <v>179</v>
      </c>
      <c r="G5" s="45" t="s">
        <v>178</v>
      </c>
      <c r="H5" s="45" t="s">
        <v>178</v>
      </c>
      <c r="I5" s="45" t="s">
        <v>179</v>
      </c>
      <c r="J5" s="45" t="s">
        <v>178</v>
      </c>
      <c r="K5" s="45" t="s">
        <v>179</v>
      </c>
      <c r="L5" s="45" t="s">
        <v>178</v>
      </c>
      <c r="M5" s="45" t="s">
        <v>178</v>
      </c>
      <c r="N5" s="45" t="s">
        <v>179</v>
      </c>
      <c r="O5" s="45" t="s">
        <v>178</v>
      </c>
      <c r="P5" s="45" t="s">
        <v>178</v>
      </c>
      <c r="Q5" s="45" t="s">
        <v>179</v>
      </c>
      <c r="R5" s="45" t="s">
        <v>178</v>
      </c>
      <c r="S5" s="45" t="s">
        <v>178</v>
      </c>
      <c r="T5" s="45" t="s">
        <v>178</v>
      </c>
      <c r="U5" s="32">
        <f t="shared" si="0"/>
        <v>12</v>
      </c>
      <c r="V5" s="32">
        <f t="shared" si="1"/>
        <v>7</v>
      </c>
      <c r="W5" s="32">
        <f t="shared" si="2"/>
        <v>19</v>
      </c>
    </row>
    <row r="6" spans="1:28" ht="15" customHeight="1" x14ac:dyDescent="0.25">
      <c r="A6" s="45" t="s">
        <v>41</v>
      </c>
      <c r="B6" s="45" t="s">
        <v>178</v>
      </c>
      <c r="C6" s="45" t="s">
        <v>178</v>
      </c>
      <c r="D6" s="45" t="s">
        <v>178</v>
      </c>
      <c r="E6" s="45" t="s">
        <v>178</v>
      </c>
      <c r="F6" s="45" t="s">
        <v>178</v>
      </c>
      <c r="G6" s="45" t="s">
        <v>179</v>
      </c>
      <c r="H6" s="45" t="s">
        <v>178</v>
      </c>
      <c r="I6" s="45" t="s">
        <v>178</v>
      </c>
      <c r="J6" s="45" t="s">
        <v>178</v>
      </c>
      <c r="K6" s="45" t="s">
        <v>178</v>
      </c>
      <c r="L6" s="45" t="s">
        <v>179</v>
      </c>
      <c r="M6" s="45" t="s">
        <v>178</v>
      </c>
      <c r="N6" s="45" t="s">
        <v>178</v>
      </c>
      <c r="O6" s="45" t="s">
        <v>178</v>
      </c>
      <c r="P6" s="45" t="s">
        <v>179</v>
      </c>
      <c r="Q6" s="45" t="s">
        <v>178</v>
      </c>
      <c r="R6" s="45" t="s">
        <v>178</v>
      </c>
      <c r="S6" s="45" t="s">
        <v>178</v>
      </c>
      <c r="T6" s="45" t="s">
        <v>178</v>
      </c>
      <c r="U6" s="32">
        <f t="shared" si="0"/>
        <v>16</v>
      </c>
      <c r="V6" s="32">
        <f t="shared" si="1"/>
        <v>3</v>
      </c>
      <c r="W6" s="32">
        <f t="shared" si="2"/>
        <v>19</v>
      </c>
      <c r="Y6" s="20" t="s">
        <v>158</v>
      </c>
      <c r="Z6" s="20"/>
      <c r="AA6" s="20"/>
      <c r="AB6" s="20"/>
    </row>
    <row r="7" spans="1:28" ht="15" customHeight="1" x14ac:dyDescent="0.25">
      <c r="A7" s="45" t="s">
        <v>103</v>
      </c>
      <c r="B7" s="45" t="s">
        <v>179</v>
      </c>
      <c r="C7" s="45" t="s">
        <v>178</v>
      </c>
      <c r="D7" s="45" t="s">
        <v>178</v>
      </c>
      <c r="E7" s="45" t="s">
        <v>179</v>
      </c>
      <c r="F7" s="45" t="s">
        <v>178</v>
      </c>
      <c r="G7" s="45" t="s">
        <v>178</v>
      </c>
      <c r="H7" s="45" t="s">
        <v>178</v>
      </c>
      <c r="I7" s="45" t="s">
        <v>179</v>
      </c>
      <c r="J7" s="45" t="s">
        <v>178</v>
      </c>
      <c r="K7" s="45" t="s">
        <v>178</v>
      </c>
      <c r="L7" s="45" t="s">
        <v>178</v>
      </c>
      <c r="M7" s="45" t="s">
        <v>179</v>
      </c>
      <c r="N7" s="45" t="s">
        <v>178</v>
      </c>
      <c r="O7" s="45" t="s">
        <v>178</v>
      </c>
      <c r="P7" s="45" t="s">
        <v>178</v>
      </c>
      <c r="Q7" s="45" t="s">
        <v>178</v>
      </c>
      <c r="R7" s="45" t="s">
        <v>179</v>
      </c>
      <c r="S7" s="45" t="s">
        <v>178</v>
      </c>
      <c r="T7" s="45" t="s">
        <v>178</v>
      </c>
      <c r="U7" s="32">
        <f t="shared" si="0"/>
        <v>14</v>
      </c>
      <c r="V7" s="32">
        <f t="shared" si="1"/>
        <v>5</v>
      </c>
      <c r="W7" s="32">
        <f t="shared" si="2"/>
        <v>19</v>
      </c>
      <c r="Y7" s="20"/>
      <c r="Z7" s="20"/>
      <c r="AA7" s="20"/>
      <c r="AB7" s="20"/>
    </row>
    <row r="8" spans="1:28" ht="15" customHeight="1" x14ac:dyDescent="0.25">
      <c r="A8" s="45" t="s">
        <v>180</v>
      </c>
      <c r="B8" s="45" t="s">
        <v>178</v>
      </c>
      <c r="C8" s="45" t="s">
        <v>178</v>
      </c>
      <c r="D8" s="45" t="s">
        <v>179</v>
      </c>
      <c r="E8" s="45" t="s">
        <v>178</v>
      </c>
      <c r="F8" s="45" t="s">
        <v>178</v>
      </c>
      <c r="G8" s="45" t="s">
        <v>178</v>
      </c>
      <c r="H8" s="45" t="s">
        <v>179</v>
      </c>
      <c r="I8" s="45" t="s">
        <v>178</v>
      </c>
      <c r="J8" s="45" t="s">
        <v>178</v>
      </c>
      <c r="K8" s="45" t="s">
        <v>178</v>
      </c>
      <c r="L8" s="45" t="s">
        <v>178</v>
      </c>
      <c r="M8" s="45" t="s">
        <v>178</v>
      </c>
      <c r="N8" s="45" t="s">
        <v>179</v>
      </c>
      <c r="O8" s="45" t="s">
        <v>178</v>
      </c>
      <c r="P8" s="45" t="s">
        <v>178</v>
      </c>
      <c r="Q8" s="45" t="s">
        <v>178</v>
      </c>
      <c r="R8" s="45" t="s">
        <v>178</v>
      </c>
      <c r="S8" s="45" t="s">
        <v>178</v>
      </c>
      <c r="T8" s="45" t="s">
        <v>179</v>
      </c>
      <c r="U8" s="32">
        <f t="shared" si="0"/>
        <v>15</v>
      </c>
      <c r="V8" s="32">
        <f t="shared" si="1"/>
        <v>4</v>
      </c>
      <c r="W8" s="32">
        <f t="shared" si="2"/>
        <v>19</v>
      </c>
      <c r="Y8" s="20"/>
      <c r="Z8" s="20"/>
      <c r="AA8" s="20"/>
      <c r="AB8" s="20"/>
    </row>
    <row r="9" spans="1:28" ht="15" customHeight="1" x14ac:dyDescent="0.25">
      <c r="A9" s="45" t="s">
        <v>181</v>
      </c>
      <c r="B9" s="45" t="s">
        <v>178</v>
      </c>
      <c r="C9" s="45" t="s">
        <v>179</v>
      </c>
      <c r="D9" s="45" t="s">
        <v>178</v>
      </c>
      <c r="E9" s="45" t="s">
        <v>178</v>
      </c>
      <c r="F9" s="45" t="s">
        <v>179</v>
      </c>
      <c r="G9" s="45" t="s">
        <v>178</v>
      </c>
      <c r="H9" s="45" t="s">
        <v>178</v>
      </c>
      <c r="I9" s="45" t="s">
        <v>178</v>
      </c>
      <c r="J9" s="45" t="s">
        <v>179</v>
      </c>
      <c r="K9" s="45" t="s">
        <v>178</v>
      </c>
      <c r="L9" s="45" t="s">
        <v>178</v>
      </c>
      <c r="M9" s="45" t="s">
        <v>179</v>
      </c>
      <c r="N9" s="45" t="s">
        <v>178</v>
      </c>
      <c r="O9" s="45" t="s">
        <v>178</v>
      </c>
      <c r="P9" s="45" t="s">
        <v>178</v>
      </c>
      <c r="Q9" s="45" t="s">
        <v>179</v>
      </c>
      <c r="R9" s="45" t="s">
        <v>178</v>
      </c>
      <c r="S9" s="45" t="s">
        <v>178</v>
      </c>
      <c r="T9" s="45" t="s">
        <v>178</v>
      </c>
      <c r="U9" s="32">
        <f t="shared" si="0"/>
        <v>14</v>
      </c>
      <c r="V9" s="32">
        <f t="shared" si="1"/>
        <v>5</v>
      </c>
      <c r="W9" s="32">
        <f t="shared" si="2"/>
        <v>19</v>
      </c>
      <c r="Y9" s="20"/>
      <c r="Z9" s="20"/>
      <c r="AA9" s="20"/>
      <c r="AB9" s="20"/>
    </row>
    <row r="10" spans="1:28" ht="15" customHeight="1" x14ac:dyDescent="0.25">
      <c r="A10" s="45" t="s">
        <v>182</v>
      </c>
      <c r="B10" s="45" t="s">
        <v>179</v>
      </c>
      <c r="C10" s="45" t="s">
        <v>178</v>
      </c>
      <c r="D10" s="45" t="s">
        <v>178</v>
      </c>
      <c r="E10" s="45" t="s">
        <v>178</v>
      </c>
      <c r="F10" s="45" t="s">
        <v>178</v>
      </c>
      <c r="G10" s="45" t="s">
        <v>178</v>
      </c>
      <c r="H10" s="45" t="s">
        <v>178</v>
      </c>
      <c r="I10" s="45" t="s">
        <v>179</v>
      </c>
      <c r="J10" s="45" t="s">
        <v>178</v>
      </c>
      <c r="K10" s="45" t="s">
        <v>178</v>
      </c>
      <c r="L10" s="45" t="s">
        <v>179</v>
      </c>
      <c r="M10" s="45" t="s">
        <v>178</v>
      </c>
      <c r="N10" s="45" t="s">
        <v>178</v>
      </c>
      <c r="O10" s="45" t="s">
        <v>178</v>
      </c>
      <c r="P10" s="45" t="s">
        <v>178</v>
      </c>
      <c r="Q10" s="45" t="s">
        <v>178</v>
      </c>
      <c r="R10" s="45" t="s">
        <v>179</v>
      </c>
      <c r="S10" s="45" t="s">
        <v>178</v>
      </c>
      <c r="T10" s="45" t="s">
        <v>178</v>
      </c>
      <c r="U10" s="32">
        <f t="shared" si="0"/>
        <v>15</v>
      </c>
      <c r="V10" s="32">
        <f t="shared" si="1"/>
        <v>4</v>
      </c>
      <c r="W10" s="32">
        <f t="shared" si="2"/>
        <v>19</v>
      </c>
      <c r="Y10" s="20"/>
      <c r="Z10" s="20"/>
      <c r="AA10" s="20"/>
      <c r="AB10" s="20"/>
    </row>
    <row r="11" spans="1:28" ht="15" customHeight="1" x14ac:dyDescent="0.25">
      <c r="A11" s="45" t="s">
        <v>183</v>
      </c>
      <c r="B11" s="45" t="s">
        <v>178</v>
      </c>
      <c r="C11" s="45" t="s">
        <v>178</v>
      </c>
      <c r="D11" s="45" t="s">
        <v>179</v>
      </c>
      <c r="E11" s="45" t="s">
        <v>178</v>
      </c>
      <c r="F11" s="45" t="s">
        <v>179</v>
      </c>
      <c r="G11" s="45" t="s">
        <v>178</v>
      </c>
      <c r="H11" s="45" t="s">
        <v>178</v>
      </c>
      <c r="I11" s="45" t="s">
        <v>178</v>
      </c>
      <c r="J11" s="45" t="s">
        <v>178</v>
      </c>
      <c r="K11" s="45" t="s">
        <v>179</v>
      </c>
      <c r="L11" s="45" t="s">
        <v>178</v>
      </c>
      <c r="M11" s="45" t="s">
        <v>178</v>
      </c>
      <c r="N11" s="45" t="s">
        <v>179</v>
      </c>
      <c r="O11" s="45" t="s">
        <v>178</v>
      </c>
      <c r="P11" s="45" t="s">
        <v>178</v>
      </c>
      <c r="Q11" s="45" t="s">
        <v>178</v>
      </c>
      <c r="R11" s="45" t="s">
        <v>178</v>
      </c>
      <c r="S11" s="45" t="s">
        <v>179</v>
      </c>
      <c r="T11" s="45" t="s">
        <v>178</v>
      </c>
      <c r="U11" s="32">
        <f t="shared" si="0"/>
        <v>14</v>
      </c>
      <c r="V11" s="32">
        <f t="shared" si="1"/>
        <v>5</v>
      </c>
      <c r="W11" s="32">
        <f t="shared" si="2"/>
        <v>19</v>
      </c>
      <c r="Y11" s="20"/>
      <c r="Z11" s="20"/>
      <c r="AA11" s="20"/>
      <c r="AB11" s="20"/>
    </row>
    <row r="12" spans="1:28" ht="15" customHeight="1" x14ac:dyDescent="0.25">
      <c r="A12" s="45" t="s">
        <v>184</v>
      </c>
      <c r="B12" s="45" t="s">
        <v>178</v>
      </c>
      <c r="C12" s="45" t="s">
        <v>179</v>
      </c>
      <c r="D12" s="45" t="s">
        <v>178</v>
      </c>
      <c r="E12" s="45" t="s">
        <v>178</v>
      </c>
      <c r="F12" s="45" t="s">
        <v>178</v>
      </c>
      <c r="G12" s="45" t="s">
        <v>178</v>
      </c>
      <c r="H12" s="45" t="s">
        <v>179</v>
      </c>
      <c r="I12" s="45" t="s">
        <v>178</v>
      </c>
      <c r="J12" s="45" t="s">
        <v>178</v>
      </c>
      <c r="K12" s="45" t="s">
        <v>178</v>
      </c>
      <c r="L12" s="45" t="s">
        <v>178</v>
      </c>
      <c r="M12" s="45" t="s">
        <v>179</v>
      </c>
      <c r="N12" s="45" t="s">
        <v>178</v>
      </c>
      <c r="O12" s="45" t="s">
        <v>178</v>
      </c>
      <c r="P12" s="45" t="s">
        <v>178</v>
      </c>
      <c r="Q12" s="45" t="s">
        <v>179</v>
      </c>
      <c r="R12" s="45" t="s">
        <v>178</v>
      </c>
      <c r="S12" s="45" t="s">
        <v>178</v>
      </c>
      <c r="T12" s="45" t="s">
        <v>178</v>
      </c>
      <c r="U12" s="32">
        <f t="shared" si="0"/>
        <v>15</v>
      </c>
      <c r="V12" s="32">
        <f t="shared" si="1"/>
        <v>4</v>
      </c>
      <c r="W12" s="32">
        <f t="shared" si="2"/>
        <v>19</v>
      </c>
      <c r="Y12" s="20"/>
      <c r="Z12" s="20"/>
      <c r="AA12" s="20"/>
      <c r="AB12" s="20"/>
    </row>
    <row r="13" spans="1:28" ht="15" customHeight="1" x14ac:dyDescent="0.25">
      <c r="A13" s="45" t="s">
        <v>185</v>
      </c>
      <c r="B13" s="45" t="s">
        <v>178</v>
      </c>
      <c r="C13" s="45" t="s">
        <v>178</v>
      </c>
      <c r="D13" s="45" t="s">
        <v>178</v>
      </c>
      <c r="E13" s="45" t="s">
        <v>179</v>
      </c>
      <c r="F13" s="45" t="s">
        <v>178</v>
      </c>
      <c r="G13" s="45" t="s">
        <v>179</v>
      </c>
      <c r="H13" s="45" t="s">
        <v>178</v>
      </c>
      <c r="I13" s="45" t="s">
        <v>178</v>
      </c>
      <c r="J13" s="45" t="s">
        <v>178</v>
      </c>
      <c r="K13" s="45" t="s">
        <v>178</v>
      </c>
      <c r="L13" s="45" t="s">
        <v>179</v>
      </c>
      <c r="M13" s="45" t="s">
        <v>178</v>
      </c>
      <c r="N13" s="45" t="s">
        <v>178</v>
      </c>
      <c r="O13" s="45" t="s">
        <v>179</v>
      </c>
      <c r="P13" s="45" t="s">
        <v>178</v>
      </c>
      <c r="Q13" s="45" t="s">
        <v>178</v>
      </c>
      <c r="R13" s="45" t="s">
        <v>178</v>
      </c>
      <c r="S13" s="45" t="s">
        <v>179</v>
      </c>
      <c r="T13" s="45" t="s">
        <v>178</v>
      </c>
      <c r="U13" s="32">
        <f t="shared" si="0"/>
        <v>14</v>
      </c>
      <c r="V13" s="32">
        <f t="shared" si="1"/>
        <v>5</v>
      </c>
      <c r="W13" s="32">
        <f t="shared" si="2"/>
        <v>19</v>
      </c>
      <c r="Y13" s="20"/>
      <c r="Z13" s="20"/>
      <c r="AA13" s="20"/>
      <c r="AB13" s="20"/>
    </row>
    <row r="14" spans="1:28" x14ac:dyDescent="0.25">
      <c r="A14" s="45" t="s">
        <v>186</v>
      </c>
      <c r="B14" s="45" t="s">
        <v>179</v>
      </c>
      <c r="C14" s="45" t="s">
        <v>178</v>
      </c>
      <c r="D14" s="45" t="s">
        <v>178</v>
      </c>
      <c r="E14" s="45" t="s">
        <v>178</v>
      </c>
      <c r="F14" s="45" t="s">
        <v>178</v>
      </c>
      <c r="G14" s="45" t="s">
        <v>178</v>
      </c>
      <c r="H14" s="45" t="s">
        <v>178</v>
      </c>
      <c r="I14" s="45" t="s">
        <v>178</v>
      </c>
      <c r="J14" s="45" t="s">
        <v>179</v>
      </c>
      <c r="K14" s="45" t="s">
        <v>178</v>
      </c>
      <c r="L14" s="45" t="s">
        <v>178</v>
      </c>
      <c r="M14" s="45" t="s">
        <v>179</v>
      </c>
      <c r="N14" s="45" t="s">
        <v>178</v>
      </c>
      <c r="O14" s="45" t="s">
        <v>178</v>
      </c>
      <c r="P14" s="45" t="s">
        <v>178</v>
      </c>
      <c r="Q14" s="45" t="s">
        <v>178</v>
      </c>
      <c r="R14" s="45" t="s">
        <v>179</v>
      </c>
      <c r="S14" s="45" t="s">
        <v>178</v>
      </c>
      <c r="T14" s="45" t="s">
        <v>178</v>
      </c>
      <c r="U14" s="32">
        <f t="shared" si="0"/>
        <v>15</v>
      </c>
      <c r="V14" s="32">
        <f t="shared" si="1"/>
        <v>4</v>
      </c>
      <c r="W14" s="32">
        <f t="shared" si="2"/>
        <v>19</v>
      </c>
    </row>
    <row r="15" spans="1:28" x14ac:dyDescent="0.25">
      <c r="A15" s="45" t="s">
        <v>187</v>
      </c>
      <c r="B15" s="45" t="s">
        <v>178</v>
      </c>
      <c r="C15" s="45" t="s">
        <v>178</v>
      </c>
      <c r="D15" s="45" t="s">
        <v>179</v>
      </c>
      <c r="E15" s="45" t="s">
        <v>178</v>
      </c>
      <c r="F15" s="45" t="s">
        <v>178</v>
      </c>
      <c r="G15" s="45" t="s">
        <v>179</v>
      </c>
      <c r="H15" s="45" t="s">
        <v>178</v>
      </c>
      <c r="I15" s="45" t="s">
        <v>178</v>
      </c>
      <c r="J15" s="45" t="s">
        <v>178</v>
      </c>
      <c r="K15" s="45" t="s">
        <v>179</v>
      </c>
      <c r="L15" s="45" t="s">
        <v>178</v>
      </c>
      <c r="M15" s="45" t="s">
        <v>178</v>
      </c>
      <c r="N15" s="45" t="s">
        <v>179</v>
      </c>
      <c r="O15" s="45" t="s">
        <v>178</v>
      </c>
      <c r="P15" s="45" t="s">
        <v>178</v>
      </c>
      <c r="Q15" s="45" t="s">
        <v>178</v>
      </c>
      <c r="R15" s="45" t="s">
        <v>178</v>
      </c>
      <c r="S15" s="45" t="s">
        <v>179</v>
      </c>
      <c r="T15" s="45" t="s">
        <v>178</v>
      </c>
      <c r="U15" s="32">
        <f t="shared" si="0"/>
        <v>14</v>
      </c>
      <c r="V15" s="32">
        <f t="shared" si="1"/>
        <v>5</v>
      </c>
      <c r="W15" s="32">
        <f t="shared" si="2"/>
        <v>19</v>
      </c>
    </row>
    <row r="16" spans="1:28" x14ac:dyDescent="0.25">
      <c r="A16" s="45" t="s">
        <v>188</v>
      </c>
      <c r="B16" s="45" t="s">
        <v>178</v>
      </c>
      <c r="C16" s="45" t="s">
        <v>179</v>
      </c>
      <c r="D16" s="45" t="s">
        <v>178</v>
      </c>
      <c r="E16" s="45" t="s">
        <v>178</v>
      </c>
      <c r="F16" s="45" t="s">
        <v>178</v>
      </c>
      <c r="G16" s="45" t="s">
        <v>178</v>
      </c>
      <c r="H16" s="45" t="s">
        <v>179</v>
      </c>
      <c r="I16" s="45" t="s">
        <v>178</v>
      </c>
      <c r="J16" s="45" t="s">
        <v>178</v>
      </c>
      <c r="K16" s="45" t="s">
        <v>178</v>
      </c>
      <c r="L16" s="45" t="s">
        <v>179</v>
      </c>
      <c r="M16" s="45" t="s">
        <v>178</v>
      </c>
      <c r="N16" s="45" t="s">
        <v>178</v>
      </c>
      <c r="O16" s="45" t="s">
        <v>178</v>
      </c>
      <c r="P16" s="45" t="s">
        <v>179</v>
      </c>
      <c r="Q16" s="45" t="s">
        <v>178</v>
      </c>
      <c r="R16" s="45" t="s">
        <v>178</v>
      </c>
      <c r="S16" s="45" t="s">
        <v>178</v>
      </c>
      <c r="T16" s="45" t="s">
        <v>178</v>
      </c>
      <c r="U16" s="32">
        <f t="shared" si="0"/>
        <v>15</v>
      </c>
      <c r="V16" s="32">
        <f t="shared" si="1"/>
        <v>4</v>
      </c>
      <c r="W16" s="32">
        <f t="shared" si="2"/>
        <v>19</v>
      </c>
    </row>
    <row r="17" spans="1:23" x14ac:dyDescent="0.25">
      <c r="A17" s="45" t="s">
        <v>78</v>
      </c>
      <c r="B17" s="45" t="s">
        <v>179</v>
      </c>
      <c r="C17" s="45" t="s">
        <v>178</v>
      </c>
      <c r="D17" s="45" t="s">
        <v>178</v>
      </c>
      <c r="E17" s="45" t="s">
        <v>179</v>
      </c>
      <c r="F17" s="45" t="s">
        <v>178</v>
      </c>
      <c r="G17" s="45" t="s">
        <v>178</v>
      </c>
      <c r="H17" s="45" t="s">
        <v>178</v>
      </c>
      <c r="I17" s="45" t="s">
        <v>179</v>
      </c>
      <c r="J17" s="45" t="s">
        <v>178</v>
      </c>
      <c r="K17" s="45" t="s">
        <v>178</v>
      </c>
      <c r="L17" s="45" t="s">
        <v>178</v>
      </c>
      <c r="M17" s="45" t="s">
        <v>179</v>
      </c>
      <c r="N17" s="45" t="s">
        <v>178</v>
      </c>
      <c r="O17" s="45" t="s">
        <v>178</v>
      </c>
      <c r="P17" s="45" t="s">
        <v>178</v>
      </c>
      <c r="Q17" s="45" t="s">
        <v>179</v>
      </c>
      <c r="R17" s="45" t="s">
        <v>178</v>
      </c>
      <c r="S17" s="45" t="s">
        <v>178</v>
      </c>
      <c r="T17" s="45" t="s">
        <v>178</v>
      </c>
      <c r="U17" s="32">
        <f t="shared" si="0"/>
        <v>14</v>
      </c>
      <c r="V17" s="32">
        <f t="shared" si="1"/>
        <v>5</v>
      </c>
      <c r="W17" s="32">
        <f t="shared" si="2"/>
        <v>19</v>
      </c>
    </row>
    <row r="18" spans="1:23" x14ac:dyDescent="0.25">
      <c r="A18" s="45" t="s">
        <v>189</v>
      </c>
      <c r="B18" s="45" t="s">
        <v>178</v>
      </c>
      <c r="C18" s="45" t="s">
        <v>178</v>
      </c>
      <c r="D18" s="45" t="s">
        <v>178</v>
      </c>
      <c r="E18" s="45" t="s">
        <v>178</v>
      </c>
      <c r="F18" s="45" t="s">
        <v>179</v>
      </c>
      <c r="G18" s="45" t="s">
        <v>178</v>
      </c>
      <c r="H18" s="45" t="s">
        <v>178</v>
      </c>
      <c r="I18" s="45" t="s">
        <v>178</v>
      </c>
      <c r="J18" s="45" t="s">
        <v>179</v>
      </c>
      <c r="K18" s="45" t="s">
        <v>178</v>
      </c>
      <c r="L18" s="45" t="s">
        <v>178</v>
      </c>
      <c r="M18" s="45" t="s">
        <v>178</v>
      </c>
      <c r="N18" s="45" t="s">
        <v>179</v>
      </c>
      <c r="O18" s="45" t="s">
        <v>178</v>
      </c>
      <c r="P18" s="45" t="s">
        <v>178</v>
      </c>
      <c r="Q18" s="45" t="s">
        <v>178</v>
      </c>
      <c r="R18" s="45" t="s">
        <v>178</v>
      </c>
      <c r="S18" s="45" t="s">
        <v>179</v>
      </c>
      <c r="T18" s="45" t="s">
        <v>178</v>
      </c>
      <c r="U18" s="32">
        <f t="shared" si="0"/>
        <v>15</v>
      </c>
      <c r="V18" s="32">
        <f t="shared" si="1"/>
        <v>4</v>
      </c>
      <c r="W18" s="32">
        <f t="shared" si="2"/>
        <v>19</v>
      </c>
    </row>
    <row r="19" spans="1:23" x14ac:dyDescent="0.25">
      <c r="A19" s="45" t="s">
        <v>56</v>
      </c>
      <c r="B19" s="45" t="s">
        <v>178</v>
      </c>
      <c r="C19" s="45" t="s">
        <v>179</v>
      </c>
      <c r="D19" s="45" t="s">
        <v>178</v>
      </c>
      <c r="E19" s="45" t="s">
        <v>178</v>
      </c>
      <c r="F19" s="45" t="s">
        <v>178</v>
      </c>
      <c r="G19" s="45" t="s">
        <v>179</v>
      </c>
      <c r="H19" s="45" t="s">
        <v>178</v>
      </c>
      <c r="I19" s="45" t="s">
        <v>178</v>
      </c>
      <c r="J19" s="45" t="s">
        <v>178</v>
      </c>
      <c r="K19" s="45" t="s">
        <v>178</v>
      </c>
      <c r="L19" s="45" t="s">
        <v>179</v>
      </c>
      <c r="M19" s="45" t="s">
        <v>178</v>
      </c>
      <c r="N19" s="45" t="s">
        <v>178</v>
      </c>
      <c r="O19" s="45" t="s">
        <v>179</v>
      </c>
      <c r="P19" s="45" t="s">
        <v>178</v>
      </c>
      <c r="Q19" s="45" t="s">
        <v>178</v>
      </c>
      <c r="R19" s="45" t="s">
        <v>178</v>
      </c>
      <c r="S19" s="45" t="s">
        <v>179</v>
      </c>
      <c r="T19" s="45" t="s">
        <v>178</v>
      </c>
      <c r="U19" s="32">
        <f t="shared" si="0"/>
        <v>14</v>
      </c>
      <c r="V19" s="32">
        <f t="shared" si="1"/>
        <v>5</v>
      </c>
      <c r="W19" s="32">
        <f t="shared" si="2"/>
        <v>19</v>
      </c>
    </row>
    <row r="20" spans="1:23" x14ac:dyDescent="0.25">
      <c r="A20" s="45" t="s">
        <v>113</v>
      </c>
      <c r="B20" s="45" t="s">
        <v>178</v>
      </c>
      <c r="C20" s="45" t="s">
        <v>178</v>
      </c>
      <c r="D20" s="45" t="s">
        <v>179</v>
      </c>
      <c r="E20" s="45" t="s">
        <v>178</v>
      </c>
      <c r="F20" s="45" t="s">
        <v>178</v>
      </c>
      <c r="G20" s="45" t="s">
        <v>178</v>
      </c>
      <c r="H20" s="45" t="s">
        <v>179</v>
      </c>
      <c r="I20" s="45" t="s">
        <v>178</v>
      </c>
      <c r="J20" s="45" t="s">
        <v>178</v>
      </c>
      <c r="K20" s="45" t="s">
        <v>179</v>
      </c>
      <c r="L20" s="45" t="s">
        <v>178</v>
      </c>
      <c r="M20" s="45" t="s">
        <v>178</v>
      </c>
      <c r="N20" s="45" t="s">
        <v>179</v>
      </c>
      <c r="O20" s="45" t="s">
        <v>178</v>
      </c>
      <c r="P20" s="45" t="s">
        <v>178</v>
      </c>
      <c r="Q20" s="45" t="s">
        <v>179</v>
      </c>
      <c r="R20" s="45" t="s">
        <v>178</v>
      </c>
      <c r="S20" s="45" t="s">
        <v>178</v>
      </c>
      <c r="T20" s="45" t="s">
        <v>178</v>
      </c>
      <c r="U20" s="32">
        <f t="shared" si="0"/>
        <v>14</v>
      </c>
      <c r="V20" s="32">
        <f t="shared" si="1"/>
        <v>5</v>
      </c>
      <c r="W20" s="32">
        <f t="shared" si="2"/>
        <v>19</v>
      </c>
    </row>
    <row r="21" spans="1:23" x14ac:dyDescent="0.25">
      <c r="A21" s="45" t="s">
        <v>190</v>
      </c>
      <c r="B21" s="45" t="s">
        <v>179</v>
      </c>
      <c r="C21" s="45" t="s">
        <v>178</v>
      </c>
      <c r="D21" s="45" t="s">
        <v>178</v>
      </c>
      <c r="E21" s="45" t="s">
        <v>178</v>
      </c>
      <c r="F21" s="45" t="s">
        <v>178</v>
      </c>
      <c r="G21" s="45" t="s">
        <v>178</v>
      </c>
      <c r="H21" s="45" t="s">
        <v>178</v>
      </c>
      <c r="I21" s="45" t="s">
        <v>179</v>
      </c>
      <c r="J21" s="45" t="s">
        <v>178</v>
      </c>
      <c r="K21" s="45" t="s">
        <v>178</v>
      </c>
      <c r="L21" s="45" t="s">
        <v>179</v>
      </c>
      <c r="M21" s="45" t="s">
        <v>178</v>
      </c>
      <c r="N21" s="45" t="s">
        <v>178</v>
      </c>
      <c r="O21" s="45" t="s">
        <v>178</v>
      </c>
      <c r="P21" s="45" t="s">
        <v>178</v>
      </c>
      <c r="Q21" s="45" t="s">
        <v>179</v>
      </c>
      <c r="R21" s="45" t="s">
        <v>178</v>
      </c>
      <c r="S21" s="45" t="s">
        <v>178</v>
      </c>
      <c r="T21" s="45" t="s">
        <v>178</v>
      </c>
      <c r="U21" s="32">
        <f t="shared" si="0"/>
        <v>15</v>
      </c>
      <c r="V21" s="32">
        <f t="shared" si="1"/>
        <v>4</v>
      </c>
      <c r="W21" s="32">
        <f t="shared" si="2"/>
        <v>19</v>
      </c>
    </row>
    <row r="22" spans="1:23" x14ac:dyDescent="0.25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</row>
    <row r="23" spans="1:23" x14ac:dyDescent="0.25">
      <c r="A23" s="32"/>
      <c r="B23" s="32">
        <f>COUNTIF(B2:B21, "P")</f>
        <v>14</v>
      </c>
      <c r="C23" s="32">
        <f>COUNTIF(C2:C21, "P")</f>
        <v>14</v>
      </c>
      <c r="D23" s="32">
        <f t="shared" ref="D23:W23" si="3">COUNTIF(D2:D21, "P")</f>
        <v>15</v>
      </c>
      <c r="E23" s="32">
        <f t="shared" si="3"/>
        <v>16</v>
      </c>
      <c r="F23" s="32">
        <f t="shared" si="3"/>
        <v>16</v>
      </c>
      <c r="G23" s="32">
        <f t="shared" si="3"/>
        <v>16</v>
      </c>
      <c r="H23" s="32">
        <f t="shared" si="3"/>
        <v>15</v>
      </c>
      <c r="I23" s="32">
        <f t="shared" si="3"/>
        <v>14</v>
      </c>
      <c r="J23" s="32">
        <f t="shared" si="3"/>
        <v>16</v>
      </c>
      <c r="K23" s="32">
        <f t="shared" si="3"/>
        <v>16</v>
      </c>
      <c r="L23" s="32">
        <f t="shared" si="3"/>
        <v>13</v>
      </c>
      <c r="M23" s="32">
        <f t="shared" si="3"/>
        <v>15</v>
      </c>
      <c r="N23" s="32">
        <f t="shared" si="3"/>
        <v>13</v>
      </c>
      <c r="O23" s="32">
        <f t="shared" si="3"/>
        <v>17</v>
      </c>
      <c r="P23" s="32">
        <f t="shared" si="3"/>
        <v>18</v>
      </c>
      <c r="Q23" s="32">
        <f t="shared" si="3"/>
        <v>13</v>
      </c>
      <c r="R23" s="32">
        <f t="shared" si="3"/>
        <v>17</v>
      </c>
      <c r="S23" s="32">
        <f t="shared" si="3"/>
        <v>14</v>
      </c>
      <c r="T23" s="32">
        <f t="shared" si="3"/>
        <v>18</v>
      </c>
      <c r="U23" s="32"/>
      <c r="V23" s="32"/>
      <c r="W23" s="32"/>
    </row>
    <row r="24" spans="1:23" x14ac:dyDescent="0.25">
      <c r="A24" s="32"/>
      <c r="B24" s="32">
        <f>COUNTIF(B2:B21, "A")</f>
        <v>6</v>
      </c>
      <c r="C24" s="32">
        <f t="shared" ref="C24:T24" si="4">COUNTIF(C2:C21, "A")</f>
        <v>6</v>
      </c>
      <c r="D24" s="32">
        <f t="shared" si="4"/>
        <v>5</v>
      </c>
      <c r="E24" s="32">
        <f t="shared" si="4"/>
        <v>4</v>
      </c>
      <c r="F24" s="32">
        <f t="shared" si="4"/>
        <v>4</v>
      </c>
      <c r="G24" s="32">
        <f t="shared" si="4"/>
        <v>4</v>
      </c>
      <c r="H24" s="32">
        <f t="shared" si="4"/>
        <v>5</v>
      </c>
      <c r="I24" s="32">
        <f t="shared" si="4"/>
        <v>6</v>
      </c>
      <c r="J24" s="32">
        <f t="shared" si="4"/>
        <v>4</v>
      </c>
      <c r="K24" s="32">
        <f t="shared" si="4"/>
        <v>4</v>
      </c>
      <c r="L24" s="32">
        <f t="shared" si="4"/>
        <v>7</v>
      </c>
      <c r="M24" s="32">
        <f t="shared" si="4"/>
        <v>5</v>
      </c>
      <c r="N24" s="32">
        <f t="shared" si="4"/>
        <v>7</v>
      </c>
      <c r="O24" s="32">
        <f t="shared" si="4"/>
        <v>3</v>
      </c>
      <c r="P24" s="32">
        <f t="shared" si="4"/>
        <v>2</v>
      </c>
      <c r="Q24" s="32">
        <f t="shared" si="4"/>
        <v>7</v>
      </c>
      <c r="R24" s="32">
        <f t="shared" si="4"/>
        <v>3</v>
      </c>
      <c r="S24" s="32">
        <f t="shared" si="4"/>
        <v>6</v>
      </c>
      <c r="T24" s="32">
        <f t="shared" si="4"/>
        <v>2</v>
      </c>
      <c r="U24" s="32"/>
      <c r="V24" s="32"/>
      <c r="W24" s="32"/>
    </row>
  </sheetData>
  <mergeCells count="1">
    <mergeCell ref="Y6:AB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D3CE7-A2E0-44AF-BBF7-632A977A4070}">
  <dimension ref="A1:M24"/>
  <sheetViews>
    <sheetView workbookViewId="0">
      <selection activeCell="H26" sqref="H26"/>
    </sheetView>
  </sheetViews>
  <sheetFormatPr defaultRowHeight="15" x14ac:dyDescent="0.25"/>
  <cols>
    <col min="1" max="1" width="21.28515625" bestFit="1" customWidth="1"/>
    <col min="2" max="2" width="16.85546875" bestFit="1" customWidth="1"/>
  </cols>
  <sheetData>
    <row r="1" spans="1:13" ht="18" thickBot="1" x14ac:dyDescent="0.3">
      <c r="A1" s="3" t="s">
        <v>194</v>
      </c>
      <c r="B1" s="3" t="s">
        <v>49</v>
      </c>
    </row>
    <row r="2" spans="1:13" ht="18" thickBot="1" x14ac:dyDescent="0.3">
      <c r="A2" s="1" t="s">
        <v>195</v>
      </c>
      <c r="B2" s="1">
        <v>4500</v>
      </c>
    </row>
    <row r="3" spans="1:13" ht="18" thickBot="1" x14ac:dyDescent="0.3">
      <c r="A3" s="2" t="s">
        <v>196</v>
      </c>
      <c r="B3" s="2">
        <v>12000</v>
      </c>
    </row>
    <row r="4" spans="1:13" ht="18" thickBot="1" x14ac:dyDescent="0.3">
      <c r="A4" s="1" t="s">
        <v>197</v>
      </c>
      <c r="B4" s="1">
        <v>8000</v>
      </c>
      <c r="J4" s="46" t="s">
        <v>214</v>
      </c>
      <c r="K4" s="47"/>
      <c r="L4" s="47"/>
      <c r="M4" s="47"/>
    </row>
    <row r="5" spans="1:13" ht="18" thickBot="1" x14ac:dyDescent="0.3">
      <c r="A5" s="2" t="s">
        <v>198</v>
      </c>
      <c r="B5" s="2">
        <v>25000</v>
      </c>
      <c r="J5" s="47"/>
      <c r="K5" s="47"/>
      <c r="L5" s="47"/>
      <c r="M5" s="47"/>
    </row>
    <row r="6" spans="1:13" ht="18" thickBot="1" x14ac:dyDescent="0.3">
      <c r="A6" s="1" t="s">
        <v>199</v>
      </c>
      <c r="B6" s="1">
        <v>3000</v>
      </c>
      <c r="J6" s="47"/>
      <c r="K6" s="47"/>
      <c r="L6" s="47"/>
      <c r="M6" s="47"/>
    </row>
    <row r="7" spans="1:13" ht="18" thickBot="1" x14ac:dyDescent="0.3">
      <c r="A7" s="2" t="s">
        <v>200</v>
      </c>
      <c r="B7" s="2">
        <v>15000</v>
      </c>
      <c r="J7" s="47"/>
      <c r="K7" s="47"/>
      <c r="L7" s="47"/>
      <c r="M7" s="47"/>
    </row>
    <row r="8" spans="1:13" ht="18" thickBot="1" x14ac:dyDescent="0.3">
      <c r="A8" s="1" t="s">
        <v>201</v>
      </c>
      <c r="B8" s="2">
        <v>1800</v>
      </c>
      <c r="J8" s="47"/>
      <c r="K8" s="47"/>
      <c r="L8" s="47"/>
      <c r="M8" s="47"/>
    </row>
    <row r="9" spans="1:13" ht="18" thickBot="1" x14ac:dyDescent="0.3">
      <c r="A9" s="2" t="s">
        <v>202</v>
      </c>
      <c r="B9" s="2">
        <v>3000</v>
      </c>
      <c r="J9" s="47"/>
      <c r="K9" s="47"/>
      <c r="L9" s="47"/>
      <c r="M9" s="47"/>
    </row>
    <row r="10" spans="1:13" ht="18" thickBot="1" x14ac:dyDescent="0.3">
      <c r="A10" s="1" t="s">
        <v>203</v>
      </c>
      <c r="B10" s="2">
        <v>6000</v>
      </c>
    </row>
    <row r="11" spans="1:13" ht="18" thickBot="1" x14ac:dyDescent="0.3">
      <c r="A11" s="2" t="s">
        <v>204</v>
      </c>
      <c r="B11" s="2">
        <v>5000</v>
      </c>
    </row>
    <row r="12" spans="1:13" ht="18" thickBot="1" x14ac:dyDescent="0.3">
      <c r="A12" s="1" t="s">
        <v>205</v>
      </c>
      <c r="B12" s="2">
        <v>4500</v>
      </c>
    </row>
    <row r="13" spans="1:13" ht="18" thickBot="1" x14ac:dyDescent="0.3">
      <c r="A13" s="2" t="s">
        <v>206</v>
      </c>
      <c r="B13" s="2">
        <v>8000</v>
      </c>
    </row>
    <row r="14" spans="1:13" ht="18" thickBot="1" x14ac:dyDescent="0.3">
      <c r="A14" s="1" t="s">
        <v>207</v>
      </c>
      <c r="B14" s="2">
        <v>4500</v>
      </c>
    </row>
    <row r="15" spans="1:13" ht="18" thickBot="1" x14ac:dyDescent="0.3">
      <c r="A15" s="2" t="s">
        <v>208</v>
      </c>
      <c r="B15" s="2">
        <v>3960</v>
      </c>
    </row>
    <row r="16" spans="1:13" ht="18" thickBot="1" x14ac:dyDescent="0.3">
      <c r="A16" s="1" t="s">
        <v>209</v>
      </c>
      <c r="B16" s="2">
        <v>3500</v>
      </c>
    </row>
    <row r="17" spans="1:2" ht="18" thickBot="1" x14ac:dyDescent="0.3">
      <c r="A17" s="2" t="s">
        <v>210</v>
      </c>
      <c r="B17" s="2">
        <v>6000</v>
      </c>
    </row>
    <row r="18" spans="1:2" ht="18" thickBot="1" x14ac:dyDescent="0.3">
      <c r="A18" s="1" t="s">
        <v>211</v>
      </c>
      <c r="B18" s="2">
        <v>5400</v>
      </c>
    </row>
    <row r="19" spans="1:2" ht="18" thickBot="1" x14ac:dyDescent="0.3">
      <c r="A19" s="2" t="s">
        <v>212</v>
      </c>
      <c r="B19" s="2">
        <v>5600</v>
      </c>
    </row>
    <row r="20" spans="1:2" ht="18" thickBot="1" x14ac:dyDescent="0.3">
      <c r="A20" s="1" t="s">
        <v>213</v>
      </c>
      <c r="B20" s="2">
        <v>17000</v>
      </c>
    </row>
    <row r="23" spans="1:2" ht="17.25" x14ac:dyDescent="0.25">
      <c r="A23" s="48" t="s">
        <v>215</v>
      </c>
      <c r="B23">
        <f>COUNTIF(B2:B20, "&gt;10000")</f>
        <v>4</v>
      </c>
    </row>
    <row r="24" spans="1:2" ht="17.25" x14ac:dyDescent="0.25">
      <c r="A24" s="48" t="s">
        <v>216</v>
      </c>
      <c r="B24">
        <f>COUNTIF(B3:B21, "&gt;5000")</f>
        <v>10</v>
      </c>
    </row>
  </sheetData>
  <mergeCells count="1">
    <mergeCell ref="J4:M9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32875-292D-4B2B-A69C-00B4F54049A0}">
  <dimension ref="A1:O20"/>
  <sheetViews>
    <sheetView workbookViewId="0">
      <selection activeCell="E19" sqref="E19:E20"/>
    </sheetView>
  </sheetViews>
  <sheetFormatPr defaultRowHeight="15" x14ac:dyDescent="0.25"/>
  <cols>
    <col min="1" max="1" width="37.28515625" bestFit="1" customWidth="1"/>
    <col min="2" max="2" width="16.85546875" bestFit="1" customWidth="1"/>
  </cols>
  <sheetData>
    <row r="1" spans="1:15" ht="18" thickBot="1" x14ac:dyDescent="0.3">
      <c r="A1" s="3" t="s">
        <v>117</v>
      </c>
      <c r="B1" s="3" t="s">
        <v>49</v>
      </c>
    </row>
    <row r="2" spans="1:15" ht="18" thickBot="1" x14ac:dyDescent="0.3">
      <c r="A2" s="4" t="s">
        <v>217</v>
      </c>
      <c r="B2" s="4">
        <v>22000</v>
      </c>
    </row>
    <row r="3" spans="1:15" ht="18" thickBot="1" x14ac:dyDescent="0.3">
      <c r="A3" s="5" t="s">
        <v>218</v>
      </c>
      <c r="B3" s="5">
        <v>3500</v>
      </c>
    </row>
    <row r="4" spans="1:15" ht="18" thickBot="1" x14ac:dyDescent="0.3">
      <c r="A4" s="4" t="s">
        <v>119</v>
      </c>
      <c r="B4" s="4">
        <v>58000</v>
      </c>
    </row>
    <row r="5" spans="1:15" ht="18" thickBot="1" x14ac:dyDescent="0.3">
      <c r="A5" s="5" t="s">
        <v>124</v>
      </c>
      <c r="B5" s="5">
        <v>1800</v>
      </c>
      <c r="K5" s="49" t="s">
        <v>219</v>
      </c>
      <c r="L5" s="49"/>
      <c r="M5" s="49"/>
      <c r="N5" s="49"/>
      <c r="O5" s="49"/>
    </row>
    <row r="6" spans="1:15" ht="18" thickBot="1" x14ac:dyDescent="0.3">
      <c r="A6" s="4" t="s">
        <v>126</v>
      </c>
      <c r="B6" s="4">
        <v>12000</v>
      </c>
      <c r="K6" s="49"/>
      <c r="L6" s="49"/>
      <c r="M6" s="49"/>
      <c r="N6" s="49"/>
      <c r="O6" s="49"/>
    </row>
    <row r="7" spans="1:15" ht="18" customHeight="1" thickBot="1" x14ac:dyDescent="0.3">
      <c r="A7" s="5" t="s">
        <v>71</v>
      </c>
      <c r="B7" s="4">
        <v>19200</v>
      </c>
      <c r="K7" s="49"/>
      <c r="L7" s="49"/>
      <c r="M7" s="49"/>
      <c r="N7" s="49"/>
      <c r="O7" s="49"/>
    </row>
    <row r="8" spans="1:15" ht="18" customHeight="1" thickBot="1" x14ac:dyDescent="0.3">
      <c r="A8" s="5" t="s">
        <v>73</v>
      </c>
      <c r="B8" s="4">
        <v>31800</v>
      </c>
      <c r="K8" s="49"/>
      <c r="L8" s="49"/>
      <c r="M8" s="49"/>
      <c r="N8" s="49"/>
      <c r="O8" s="49"/>
    </row>
    <row r="9" spans="1:15" ht="18" customHeight="1" thickBot="1" x14ac:dyDescent="0.3">
      <c r="A9" s="5" t="s">
        <v>75</v>
      </c>
      <c r="B9" s="4">
        <v>63000</v>
      </c>
      <c r="K9" s="49"/>
      <c r="L9" s="49"/>
      <c r="M9" s="49"/>
      <c r="N9" s="49"/>
      <c r="O9" s="49"/>
    </row>
    <row r="10" spans="1:15" ht="18" customHeight="1" thickBot="1" x14ac:dyDescent="0.3">
      <c r="A10" s="5" t="s">
        <v>77</v>
      </c>
      <c r="B10" s="4">
        <v>52500</v>
      </c>
      <c r="K10" s="49"/>
      <c r="L10" s="49"/>
      <c r="M10" s="49"/>
      <c r="N10" s="49"/>
      <c r="O10" s="49"/>
    </row>
    <row r="11" spans="1:15" ht="18" thickBot="1" x14ac:dyDescent="0.3">
      <c r="A11" s="5" t="s">
        <v>79</v>
      </c>
      <c r="B11" s="4">
        <v>47500</v>
      </c>
      <c r="K11" s="49"/>
      <c r="L11" s="49"/>
      <c r="M11" s="49"/>
      <c r="N11" s="49"/>
      <c r="O11" s="49"/>
    </row>
    <row r="12" spans="1:15" ht="18" thickBot="1" x14ac:dyDescent="0.3">
      <c r="A12" s="5" t="s">
        <v>81</v>
      </c>
      <c r="B12" s="5">
        <v>3500</v>
      </c>
      <c r="K12" s="49"/>
      <c r="L12" s="49"/>
      <c r="M12" s="49"/>
      <c r="N12" s="49"/>
      <c r="O12" s="49"/>
    </row>
    <row r="13" spans="1:15" ht="18" thickBot="1" x14ac:dyDescent="0.3">
      <c r="A13" s="5" t="s">
        <v>83</v>
      </c>
      <c r="B13" s="4">
        <v>47700</v>
      </c>
      <c r="K13" s="49"/>
      <c r="L13" s="49"/>
      <c r="M13" s="49"/>
      <c r="N13" s="49"/>
      <c r="O13" s="49"/>
    </row>
    <row r="14" spans="1:15" ht="18" thickBot="1" x14ac:dyDescent="0.3">
      <c r="A14" s="5" t="s">
        <v>85</v>
      </c>
      <c r="B14" s="4">
        <v>41960</v>
      </c>
    </row>
    <row r="15" spans="1:15" ht="18" thickBot="1" x14ac:dyDescent="0.3">
      <c r="A15" s="5" t="s">
        <v>86</v>
      </c>
      <c r="B15" s="5">
        <v>1800</v>
      </c>
    </row>
    <row r="16" spans="1:15" ht="18" thickBot="1" x14ac:dyDescent="0.3">
      <c r="A16" s="5" t="s">
        <v>88</v>
      </c>
      <c r="B16" s="4">
        <v>2300</v>
      </c>
    </row>
    <row r="17" spans="1:2" ht="18" thickBot="1" x14ac:dyDescent="0.3">
      <c r="A17" s="5" t="s">
        <v>90</v>
      </c>
      <c r="B17" s="4">
        <v>57400</v>
      </c>
    </row>
    <row r="18" spans="1:2" ht="18" thickBot="1" x14ac:dyDescent="0.3">
      <c r="A18" s="5" t="s">
        <v>92</v>
      </c>
      <c r="B18" s="4">
        <v>59400</v>
      </c>
    </row>
    <row r="19" spans="1:2" ht="18" thickBot="1" x14ac:dyDescent="0.3">
      <c r="A19" s="5" t="s">
        <v>94</v>
      </c>
      <c r="B19" s="4">
        <v>179000</v>
      </c>
    </row>
    <row r="20" spans="1:2" ht="18" thickBot="1" x14ac:dyDescent="0.3">
      <c r="A20" s="24"/>
      <c r="B20" s="4"/>
    </row>
  </sheetData>
  <mergeCells count="1">
    <mergeCell ref="K5:O13"/>
  </mergeCells>
  <conditionalFormatting sqref="B2:B20">
    <cfRule type="cellIs" dxfId="13" priority="1" operator="lessThan">
      <formula>5000</formula>
    </cfRule>
    <cfRule type="cellIs" dxfId="12" priority="2" operator="greaterThan">
      <formula>20000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5E56C-DFE1-482B-8629-B77EEA41D3D1}">
  <dimension ref="A1:S21"/>
  <sheetViews>
    <sheetView workbookViewId="0">
      <selection activeCell="B3" sqref="B3:B18"/>
    </sheetView>
  </sheetViews>
  <sheetFormatPr defaultRowHeight="15" x14ac:dyDescent="0.25"/>
  <sheetData>
    <row r="1" spans="1:19" ht="18" thickBot="1" x14ac:dyDescent="0.3">
      <c r="A1" s="3" t="s">
        <v>64</v>
      </c>
      <c r="B1" s="3" t="s">
        <v>1</v>
      </c>
      <c r="C1" s="3" t="s">
        <v>220</v>
      </c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ht="18" thickBot="1" x14ac:dyDescent="0.3">
      <c r="A2" s="4">
        <v>1</v>
      </c>
      <c r="B2" s="4" t="s">
        <v>80</v>
      </c>
      <c r="C2" s="4">
        <v>85</v>
      </c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</row>
    <row r="3" spans="1:19" ht="18" thickBot="1" x14ac:dyDescent="0.3">
      <c r="A3" s="5">
        <v>2</v>
      </c>
      <c r="B3" s="5" t="s">
        <v>221</v>
      </c>
      <c r="C3" s="5">
        <v>72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</row>
    <row r="4" spans="1:19" ht="18" thickBot="1" x14ac:dyDescent="0.3">
      <c r="A4" s="4">
        <v>3</v>
      </c>
      <c r="B4" s="4" t="s">
        <v>222</v>
      </c>
      <c r="C4" s="4">
        <v>39</v>
      </c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</row>
    <row r="5" spans="1:19" ht="18" thickBot="1" x14ac:dyDescent="0.3">
      <c r="A5" s="5">
        <v>4</v>
      </c>
      <c r="B5" s="5" t="s">
        <v>223</v>
      </c>
      <c r="C5" s="5">
        <v>91</v>
      </c>
      <c r="G5" s="29"/>
      <c r="H5" s="29"/>
      <c r="I5" s="29"/>
      <c r="J5" s="29"/>
      <c r="K5" s="29"/>
      <c r="L5" s="29"/>
      <c r="M5" s="51" t="s">
        <v>224</v>
      </c>
      <c r="N5" s="52"/>
      <c r="O5" s="52"/>
      <c r="P5" s="52"/>
      <c r="Q5" s="52"/>
      <c r="R5" s="29"/>
      <c r="S5" s="29"/>
    </row>
    <row r="6" spans="1:19" ht="18" thickBot="1" x14ac:dyDescent="0.3">
      <c r="A6" s="4">
        <v>5</v>
      </c>
      <c r="B6" s="4" t="s">
        <v>103</v>
      </c>
      <c r="C6" s="4">
        <v>28</v>
      </c>
      <c r="G6" s="29"/>
      <c r="H6" s="29"/>
      <c r="I6" s="29"/>
      <c r="J6" s="29"/>
      <c r="K6" s="29"/>
      <c r="L6" s="29"/>
      <c r="M6" s="52"/>
      <c r="N6" s="52"/>
      <c r="O6" s="52"/>
      <c r="P6" s="52"/>
      <c r="Q6" s="52"/>
      <c r="R6" s="29"/>
      <c r="S6" s="29"/>
    </row>
    <row r="7" spans="1:19" ht="18" thickBot="1" x14ac:dyDescent="0.3">
      <c r="A7" s="5">
        <v>6</v>
      </c>
      <c r="B7" s="4" t="s">
        <v>37</v>
      </c>
      <c r="C7" s="4">
        <v>78</v>
      </c>
      <c r="G7" s="29"/>
      <c r="H7" s="29"/>
      <c r="I7" s="29"/>
      <c r="J7" s="29"/>
      <c r="K7" s="29"/>
      <c r="L7" s="29"/>
      <c r="M7" s="52"/>
      <c r="N7" s="52"/>
      <c r="O7" s="52"/>
      <c r="P7" s="52"/>
      <c r="Q7" s="52"/>
      <c r="R7" s="29"/>
      <c r="S7" s="29"/>
    </row>
    <row r="8" spans="1:19" ht="18" thickBot="1" x14ac:dyDescent="0.3">
      <c r="A8" s="4">
        <v>7</v>
      </c>
      <c r="B8" s="4" t="s">
        <v>38</v>
      </c>
      <c r="C8" s="4">
        <v>65</v>
      </c>
      <c r="H8" s="29"/>
      <c r="J8" s="29"/>
      <c r="K8" s="29"/>
      <c r="L8" s="29"/>
      <c r="M8" s="52"/>
      <c r="N8" s="52"/>
      <c r="O8" s="52"/>
      <c r="P8" s="52"/>
      <c r="Q8" s="52"/>
      <c r="R8" s="29"/>
      <c r="S8" s="29"/>
    </row>
    <row r="9" spans="1:19" ht="18" thickBot="1" x14ac:dyDescent="0.3">
      <c r="A9" s="5">
        <v>8</v>
      </c>
      <c r="B9" s="4" t="s">
        <v>39</v>
      </c>
      <c r="C9" s="4">
        <v>90</v>
      </c>
      <c r="H9" s="29"/>
      <c r="J9" s="29"/>
      <c r="K9" s="29"/>
      <c r="L9" s="29"/>
      <c r="M9" s="52"/>
      <c r="N9" s="52"/>
      <c r="O9" s="52"/>
      <c r="P9" s="52"/>
      <c r="Q9" s="52"/>
      <c r="R9" s="29"/>
      <c r="S9" s="29"/>
    </row>
    <row r="10" spans="1:19" ht="18" thickBot="1" x14ac:dyDescent="0.3">
      <c r="A10" s="4">
        <v>9</v>
      </c>
      <c r="B10" s="4" t="s">
        <v>40</v>
      </c>
      <c r="C10" s="4">
        <v>35</v>
      </c>
      <c r="H10" s="29"/>
      <c r="J10" s="29"/>
      <c r="K10" s="29"/>
      <c r="L10" s="29"/>
      <c r="M10" s="52"/>
      <c r="N10" s="52"/>
      <c r="O10" s="52"/>
      <c r="P10" s="52"/>
      <c r="Q10" s="52"/>
      <c r="R10" s="29"/>
      <c r="S10" s="29"/>
    </row>
    <row r="11" spans="1:19" ht="18" thickBot="1" x14ac:dyDescent="0.3">
      <c r="A11" s="5">
        <v>10</v>
      </c>
      <c r="B11" s="4" t="s">
        <v>41</v>
      </c>
      <c r="C11" s="4">
        <v>25</v>
      </c>
      <c r="H11" s="29"/>
      <c r="J11" s="29"/>
      <c r="K11" s="29"/>
      <c r="L11" s="29"/>
      <c r="M11" s="52"/>
      <c r="N11" s="52"/>
      <c r="O11" s="52"/>
      <c r="P11" s="52"/>
      <c r="Q11" s="52"/>
      <c r="R11" s="29"/>
      <c r="S11" s="29"/>
    </row>
    <row r="12" spans="1:19" ht="18" thickBot="1" x14ac:dyDescent="0.3">
      <c r="A12" s="4">
        <v>11</v>
      </c>
      <c r="B12" s="4" t="s">
        <v>103</v>
      </c>
      <c r="C12" s="4">
        <v>72</v>
      </c>
      <c r="H12" s="29"/>
      <c r="J12" s="29"/>
      <c r="K12" s="29"/>
      <c r="L12" s="29"/>
      <c r="M12" s="52"/>
      <c r="N12" s="52"/>
      <c r="O12" s="52"/>
      <c r="P12" s="52"/>
      <c r="Q12" s="52"/>
      <c r="R12" s="29"/>
      <c r="S12" s="29"/>
    </row>
    <row r="13" spans="1:19" ht="18" thickBot="1" x14ac:dyDescent="0.3">
      <c r="A13" s="5">
        <v>12</v>
      </c>
      <c r="B13" s="4" t="s">
        <v>104</v>
      </c>
      <c r="C13" s="4">
        <v>88</v>
      </c>
      <c r="H13" s="29"/>
      <c r="J13" s="29"/>
      <c r="K13" s="29"/>
      <c r="L13" s="29"/>
      <c r="M13" s="29"/>
      <c r="N13" s="29"/>
      <c r="O13" s="29"/>
      <c r="P13" s="29"/>
      <c r="Q13" s="29"/>
      <c r="R13" s="29"/>
      <c r="S13" s="29"/>
    </row>
    <row r="14" spans="1:19" ht="18" thickBot="1" x14ac:dyDescent="0.3">
      <c r="A14" s="4">
        <v>13</v>
      </c>
      <c r="B14" s="4" t="s">
        <v>105</v>
      </c>
      <c r="C14" s="4">
        <v>60</v>
      </c>
      <c r="H14" s="29"/>
      <c r="J14" s="29"/>
      <c r="K14" s="29"/>
      <c r="L14" s="29"/>
      <c r="M14" s="29"/>
      <c r="N14" s="29"/>
      <c r="O14" s="29"/>
      <c r="P14" s="29"/>
      <c r="Q14" s="29"/>
      <c r="R14" s="29"/>
      <c r="S14" s="29"/>
    </row>
    <row r="15" spans="1:19" ht="18" thickBot="1" x14ac:dyDescent="0.3">
      <c r="A15" s="5">
        <v>14</v>
      </c>
      <c r="B15" s="4" t="s">
        <v>106</v>
      </c>
      <c r="C15" s="4">
        <v>82</v>
      </c>
      <c r="H15" s="29"/>
      <c r="J15" s="29"/>
      <c r="K15" s="29"/>
      <c r="L15" s="29"/>
      <c r="M15" s="29"/>
      <c r="N15" s="29"/>
      <c r="O15" s="29"/>
      <c r="P15" s="29"/>
      <c r="Q15" s="29"/>
      <c r="R15" s="29"/>
      <c r="S15" s="29"/>
    </row>
    <row r="16" spans="1:19" ht="18" thickBot="1" x14ac:dyDescent="0.3">
      <c r="A16" s="4">
        <v>15</v>
      </c>
      <c r="B16" s="4" t="s">
        <v>107</v>
      </c>
      <c r="C16" s="4">
        <v>45</v>
      </c>
      <c r="H16" s="29"/>
      <c r="J16" s="29"/>
      <c r="K16" s="29"/>
      <c r="L16" s="29"/>
      <c r="M16" s="29"/>
      <c r="N16" s="29"/>
      <c r="O16" s="29"/>
      <c r="P16" s="29"/>
      <c r="Q16" s="29"/>
      <c r="R16" s="29"/>
      <c r="S16" s="29"/>
    </row>
    <row r="17" spans="1:19" ht="18" thickBot="1" x14ac:dyDescent="0.3">
      <c r="A17" s="5">
        <v>16</v>
      </c>
      <c r="B17" s="4" t="s">
        <v>108</v>
      </c>
      <c r="C17" s="4">
        <v>92</v>
      </c>
      <c r="H17" s="29"/>
      <c r="J17" s="29"/>
      <c r="K17" s="29"/>
      <c r="L17" s="29"/>
      <c r="M17" s="29"/>
      <c r="N17" s="29"/>
      <c r="O17" s="29"/>
      <c r="P17" s="29"/>
      <c r="Q17" s="29"/>
      <c r="R17" s="29"/>
      <c r="S17" s="29"/>
    </row>
    <row r="18" spans="1:19" ht="18" thickBot="1" x14ac:dyDescent="0.3">
      <c r="A18" s="4">
        <v>17</v>
      </c>
      <c r="B18" s="4" t="s">
        <v>109</v>
      </c>
      <c r="C18" s="4">
        <v>68</v>
      </c>
      <c r="H18" s="29"/>
      <c r="J18" s="29"/>
      <c r="K18" s="29"/>
      <c r="L18" s="29"/>
      <c r="M18" s="29"/>
      <c r="N18" s="29"/>
      <c r="O18" s="29"/>
      <c r="P18" s="29"/>
      <c r="Q18" s="29"/>
      <c r="R18" s="29"/>
      <c r="S18" s="29"/>
    </row>
    <row r="19" spans="1:19" ht="18" thickBot="1" x14ac:dyDescent="0.3">
      <c r="A19" s="5">
        <v>18</v>
      </c>
      <c r="B19" s="4" t="s">
        <v>110</v>
      </c>
      <c r="C19" s="4">
        <v>85</v>
      </c>
      <c r="H19" s="29"/>
      <c r="J19" s="29"/>
      <c r="K19" s="29"/>
      <c r="L19" s="29"/>
      <c r="M19" s="30"/>
      <c r="N19" s="29"/>
      <c r="O19" s="29"/>
      <c r="P19" s="29"/>
      <c r="Q19" s="29"/>
      <c r="R19" s="29"/>
      <c r="S19" s="29"/>
    </row>
    <row r="20" spans="1:19" ht="18" thickBot="1" x14ac:dyDescent="0.3">
      <c r="A20" s="4">
        <v>19</v>
      </c>
      <c r="B20" s="4" t="s">
        <v>95</v>
      </c>
      <c r="C20" s="4">
        <v>58</v>
      </c>
      <c r="H20" s="29"/>
      <c r="J20" s="29"/>
      <c r="K20" s="29"/>
      <c r="L20" s="29"/>
      <c r="M20" s="30"/>
      <c r="N20" s="29"/>
      <c r="O20" s="29"/>
      <c r="P20" s="29"/>
      <c r="Q20" s="29"/>
      <c r="R20" s="29"/>
      <c r="S20" s="29"/>
    </row>
    <row r="21" spans="1:19" ht="18" thickBot="1" x14ac:dyDescent="0.3">
      <c r="A21" s="5">
        <v>20</v>
      </c>
      <c r="B21" s="4" t="s">
        <v>111</v>
      </c>
      <c r="C21" s="4">
        <v>75</v>
      </c>
      <c r="G21" s="29"/>
      <c r="H21" s="29"/>
      <c r="I21" s="29"/>
      <c r="J21" s="29"/>
      <c r="K21" s="29"/>
      <c r="L21" s="29"/>
      <c r="M21" s="30"/>
      <c r="N21" s="29"/>
      <c r="O21" s="29"/>
      <c r="P21" s="29"/>
      <c r="Q21" s="29"/>
      <c r="R21" s="29"/>
      <c r="S21" s="29"/>
    </row>
  </sheetData>
  <mergeCells count="1">
    <mergeCell ref="M5:Q12"/>
  </mergeCells>
  <conditionalFormatting sqref="C2:C21">
    <cfRule type="cellIs" dxfId="6" priority="3" operator="greaterThan">
      <formula>75</formula>
    </cfRule>
    <cfRule type="cellIs" dxfId="7" priority="2" operator="equal">
      <formula>75</formula>
    </cfRule>
    <cfRule type="cellIs" dxfId="8" priority="1" operator="lessThan">
      <formula>40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EB232-D517-4A1F-BABA-845949149232}">
  <dimension ref="A1:M22"/>
  <sheetViews>
    <sheetView tabSelected="1" workbookViewId="0">
      <selection activeCell="B22" sqref="B2:B22"/>
    </sheetView>
  </sheetViews>
  <sheetFormatPr defaultRowHeight="15" x14ac:dyDescent="0.25"/>
  <cols>
    <col min="1" max="1" width="19.7109375" bestFit="1" customWidth="1"/>
    <col min="2" max="2" width="8.28515625" bestFit="1" customWidth="1"/>
  </cols>
  <sheetData>
    <row r="1" spans="1:13" ht="18" thickBot="1" x14ac:dyDescent="0.3">
      <c r="A1" s="3" t="s">
        <v>225</v>
      </c>
      <c r="B1" s="3" t="s">
        <v>3</v>
      </c>
    </row>
    <row r="2" spans="1:13" ht="18" thickBot="1" x14ac:dyDescent="0.3">
      <c r="A2" s="4" t="s">
        <v>72</v>
      </c>
      <c r="B2" s="4">
        <v>28000</v>
      </c>
    </row>
    <row r="3" spans="1:13" ht="18" thickBot="1" x14ac:dyDescent="0.3">
      <c r="A3" s="5" t="s">
        <v>226</v>
      </c>
      <c r="B3" s="5">
        <v>34000</v>
      </c>
    </row>
    <row r="4" spans="1:13" ht="18" thickBot="1" x14ac:dyDescent="0.3">
      <c r="A4" s="4" t="s">
        <v>227</v>
      </c>
      <c r="B4" s="4">
        <v>51000</v>
      </c>
    </row>
    <row r="5" spans="1:13" ht="18" thickBot="1" x14ac:dyDescent="0.3">
      <c r="A5" s="5" t="s">
        <v>187</v>
      </c>
      <c r="B5" s="5">
        <v>47000</v>
      </c>
    </row>
    <row r="6" spans="1:13" ht="18" thickBot="1" x14ac:dyDescent="0.3">
      <c r="A6" s="4" t="s">
        <v>228</v>
      </c>
      <c r="B6" s="4">
        <v>29000</v>
      </c>
      <c r="I6" s="49" t="s">
        <v>229</v>
      </c>
      <c r="J6" s="50"/>
      <c r="K6" s="50"/>
      <c r="L6" s="50"/>
      <c r="M6" s="50"/>
    </row>
    <row r="7" spans="1:13" ht="18" thickBot="1" x14ac:dyDescent="0.3">
      <c r="A7" s="5" t="s">
        <v>221</v>
      </c>
      <c r="B7" s="5">
        <v>32000</v>
      </c>
      <c r="I7" s="50"/>
      <c r="J7" s="50"/>
      <c r="K7" s="50"/>
      <c r="L7" s="50"/>
      <c r="M7" s="50"/>
    </row>
    <row r="8" spans="1:13" ht="18" thickBot="1" x14ac:dyDescent="0.3">
      <c r="A8" s="4" t="s">
        <v>222</v>
      </c>
      <c r="B8" s="5">
        <v>45000</v>
      </c>
      <c r="I8" s="50"/>
      <c r="J8" s="50"/>
      <c r="K8" s="50"/>
      <c r="L8" s="50"/>
      <c r="M8" s="50"/>
    </row>
    <row r="9" spans="1:13" ht="18" thickBot="1" x14ac:dyDescent="0.3">
      <c r="A9" s="5" t="s">
        <v>223</v>
      </c>
      <c r="B9" s="5">
        <v>38000</v>
      </c>
      <c r="I9" s="50"/>
      <c r="J9" s="50"/>
      <c r="K9" s="50"/>
      <c r="L9" s="50"/>
      <c r="M9" s="50"/>
    </row>
    <row r="10" spans="1:13" ht="18" thickBot="1" x14ac:dyDescent="0.3">
      <c r="A10" s="4" t="s">
        <v>103</v>
      </c>
      <c r="B10" s="5">
        <v>52000</v>
      </c>
      <c r="I10" s="50"/>
      <c r="J10" s="50"/>
      <c r="K10" s="50"/>
      <c r="L10" s="50"/>
      <c r="M10" s="50"/>
    </row>
    <row r="11" spans="1:13" ht="18" thickBot="1" x14ac:dyDescent="0.3">
      <c r="A11" s="4" t="s">
        <v>37</v>
      </c>
      <c r="B11" s="5">
        <v>30000</v>
      </c>
      <c r="I11" s="50"/>
      <c r="J11" s="50"/>
      <c r="K11" s="50"/>
      <c r="L11" s="50"/>
      <c r="M11" s="50"/>
    </row>
    <row r="12" spans="1:13" ht="18" thickBot="1" x14ac:dyDescent="0.3">
      <c r="A12" s="4" t="s">
        <v>38</v>
      </c>
      <c r="B12" s="5">
        <v>36617</v>
      </c>
      <c r="I12" s="50"/>
      <c r="J12" s="50"/>
      <c r="K12" s="50"/>
      <c r="L12" s="50"/>
      <c r="M12" s="50"/>
    </row>
    <row r="13" spans="1:13" ht="18" thickBot="1" x14ac:dyDescent="0.3">
      <c r="A13" s="4" t="s">
        <v>39</v>
      </c>
      <c r="B13" s="5">
        <v>37464</v>
      </c>
      <c r="I13" s="50"/>
      <c r="J13" s="50"/>
      <c r="K13" s="50"/>
      <c r="L13" s="50"/>
      <c r="M13" s="50"/>
    </row>
    <row r="14" spans="1:13" ht="18" thickBot="1" x14ac:dyDescent="0.3">
      <c r="A14" s="4" t="s">
        <v>40</v>
      </c>
      <c r="B14" s="5">
        <v>35711</v>
      </c>
      <c r="I14" s="50"/>
      <c r="J14" s="50"/>
      <c r="K14" s="50"/>
      <c r="L14" s="50"/>
      <c r="M14" s="50"/>
    </row>
    <row r="15" spans="1:13" ht="18" thickBot="1" x14ac:dyDescent="0.3">
      <c r="A15" s="4" t="s">
        <v>41</v>
      </c>
      <c r="B15" s="5">
        <v>32281</v>
      </c>
    </row>
    <row r="16" spans="1:13" ht="18" thickBot="1" x14ac:dyDescent="0.3">
      <c r="A16" s="4" t="s">
        <v>103</v>
      </c>
      <c r="B16" s="5">
        <v>39265</v>
      </c>
    </row>
    <row r="17" spans="1:2" ht="18" thickBot="1" x14ac:dyDescent="0.3">
      <c r="A17" s="4" t="s">
        <v>104</v>
      </c>
      <c r="B17" s="5">
        <v>37915</v>
      </c>
    </row>
    <row r="18" spans="1:2" ht="18" thickBot="1" x14ac:dyDescent="0.3">
      <c r="A18" s="4" t="s">
        <v>105</v>
      </c>
      <c r="B18" s="5">
        <v>34926</v>
      </c>
    </row>
    <row r="19" spans="1:2" ht="18" thickBot="1" x14ac:dyDescent="0.3">
      <c r="A19" s="4" t="s">
        <v>106</v>
      </c>
      <c r="B19" s="5">
        <v>33471</v>
      </c>
    </row>
    <row r="20" spans="1:2" ht="18" thickBot="1" x14ac:dyDescent="0.3">
      <c r="A20" s="4" t="s">
        <v>107</v>
      </c>
      <c r="B20" s="5">
        <v>30797</v>
      </c>
    </row>
    <row r="21" spans="1:2" ht="18" thickBot="1" x14ac:dyDescent="0.3">
      <c r="A21" s="4" t="s">
        <v>108</v>
      </c>
      <c r="B21" s="5">
        <v>63782</v>
      </c>
    </row>
    <row r="22" spans="1:2" ht="18" thickBot="1" x14ac:dyDescent="0.3">
      <c r="A22" s="4" t="s">
        <v>109</v>
      </c>
      <c r="B22" s="5">
        <v>32784</v>
      </c>
    </row>
  </sheetData>
  <mergeCells count="1">
    <mergeCell ref="I6:M14"/>
  </mergeCells>
  <conditionalFormatting sqref="B2:B22">
    <cfRule type="cellIs" dxfId="0" priority="3" operator="greaterThan">
      <formula>50000</formula>
    </cfRule>
    <cfRule type="cellIs" dxfId="1" priority="2" operator="between">
      <formula>30000</formula>
      <formula>49999</formula>
    </cfRule>
    <cfRule type="cellIs" dxfId="2" priority="1" operator="lessThan">
      <formula>30000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ASDC43</dc:creator>
  <cp:lastModifiedBy>ASDC43</cp:lastModifiedBy>
  <dcterms:created xsi:type="dcterms:W3CDTF">2026-01-25T04:53:13Z</dcterms:created>
  <dcterms:modified xsi:type="dcterms:W3CDTF">2026-01-25T07:21:55Z</dcterms:modified>
</cp:coreProperties>
</file>